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m\Documents\GENeSYS_MOD.data\Data\Parameters\Par_DistrictHeatSplit\"/>
    </mc:Choice>
  </mc:AlternateContent>
  <xr:revisionPtr revIDLastSave="0" documentId="13_ncr:1_{47B4F75A-A58E-4F9B-988F-57F811BE197A}" xr6:coauthVersionLast="47" xr6:coauthVersionMax="47" xr10:uidLastSave="{00000000-0000-0000-0000-000000000000}"/>
  <bookViews>
    <workbookView xWindow="-108" yWindow="-108" windowWidth="30936" windowHeight="16776" activeTab="2" xr2:uid="{E6A59312-EA1B-4016-8B9A-85476151E3AE}"/>
  </bookViews>
  <sheets>
    <sheet name="Sheet1" sheetId="1" r:id="rId1"/>
    <sheet name="Sheet2" sheetId="2" r:id="rId2"/>
    <sheet name="Table2" sheetId="3" r:id="rId3"/>
  </sheets>
  <definedNames>
    <definedName name="ExternalData_1" localSheetId="2" hidden="1">Table2!$A$1:$D$661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" i="2" l="1"/>
  <c r="AC5" i="2"/>
  <c r="AB6" i="2"/>
  <c r="AC6" i="2"/>
  <c r="M72" i="2" s="1"/>
  <c r="AB7" i="2"/>
  <c r="AC7" i="2"/>
  <c r="AB8" i="2"/>
  <c r="AC8" i="2"/>
  <c r="AB9" i="2"/>
  <c r="L75" i="2" s="1"/>
  <c r="AC9" i="2"/>
  <c r="M75" i="2" s="1"/>
  <c r="AB10" i="2"/>
  <c r="L76" i="2" s="1"/>
  <c r="AC10" i="2"/>
  <c r="AB11" i="2"/>
  <c r="AC11" i="2"/>
  <c r="M77" i="2" s="1"/>
  <c r="AB12" i="2"/>
  <c r="L78" i="2" s="1"/>
  <c r="AC12" i="2"/>
  <c r="M78" i="2" s="1"/>
  <c r="AB13" i="2"/>
  <c r="AC13" i="2"/>
  <c r="AB14" i="2"/>
  <c r="AC14" i="2"/>
  <c r="M80" i="2" s="1"/>
  <c r="AB15" i="2"/>
  <c r="AC15" i="2"/>
  <c r="AB16" i="2"/>
  <c r="AC16" i="2"/>
  <c r="AB17" i="2"/>
  <c r="L83" i="2" s="1"/>
  <c r="AC17" i="2"/>
  <c r="M83" i="2" s="1"/>
  <c r="AB18" i="2"/>
  <c r="L84" i="2" s="1"/>
  <c r="AC18" i="2"/>
  <c r="AB19" i="2"/>
  <c r="AC19" i="2"/>
  <c r="AB20" i="2"/>
  <c r="L86" i="2" s="1"/>
  <c r="AC20" i="2"/>
  <c r="M86" i="2" s="1"/>
  <c r="AB21" i="2"/>
  <c r="AC21" i="2"/>
  <c r="AB22" i="2"/>
  <c r="AC22" i="2"/>
  <c r="M88" i="2" s="1"/>
  <c r="AB23" i="2"/>
  <c r="AC23" i="2"/>
  <c r="AB24" i="2"/>
  <c r="AC24" i="2"/>
  <c r="AB25" i="2"/>
  <c r="L91" i="2" s="1"/>
  <c r="AC25" i="2"/>
  <c r="M91" i="2" s="1"/>
  <c r="AB26" i="2"/>
  <c r="L92" i="2" s="1"/>
  <c r="AC26" i="2"/>
  <c r="AB27" i="2"/>
  <c r="AC27" i="2"/>
  <c r="AB28" i="2"/>
  <c r="L94" i="2" s="1"/>
  <c r="AC28" i="2"/>
  <c r="M94" i="2" s="1"/>
  <c r="AB29" i="2"/>
  <c r="AC29" i="2"/>
  <c r="AB30" i="2"/>
  <c r="AC30" i="2"/>
  <c r="M96" i="2" s="1"/>
  <c r="AB31" i="2"/>
  <c r="AC31" i="2"/>
  <c r="AB32" i="2"/>
  <c r="AC32" i="2"/>
  <c r="AB33" i="2"/>
  <c r="L99" i="2" s="1"/>
  <c r="AC33" i="2"/>
  <c r="M99" i="2" s="1"/>
  <c r="AC4" i="2"/>
  <c r="M70" i="2" s="1"/>
  <c r="AB4" i="2"/>
  <c r="L5" i="2"/>
  <c r="M5" i="2"/>
  <c r="L6" i="2"/>
  <c r="M6" i="2"/>
  <c r="L7" i="2"/>
  <c r="M7" i="2"/>
  <c r="L8" i="2"/>
  <c r="M8" i="2"/>
  <c r="L9" i="2"/>
  <c r="L45" i="2" s="1"/>
  <c r="M9" i="2"/>
  <c r="L10" i="2"/>
  <c r="M10" i="2"/>
  <c r="L11" i="2"/>
  <c r="L47" i="2" s="1"/>
  <c r="M11" i="2"/>
  <c r="M47" i="2" s="1"/>
  <c r="L12" i="2"/>
  <c r="M12" i="2"/>
  <c r="M48" i="2" s="1"/>
  <c r="L13" i="2"/>
  <c r="M13" i="2"/>
  <c r="M49" i="2" s="1"/>
  <c r="L14" i="2"/>
  <c r="M14" i="2"/>
  <c r="L15" i="2"/>
  <c r="M15" i="2"/>
  <c r="L16" i="2"/>
  <c r="M16" i="2"/>
  <c r="L17" i="2"/>
  <c r="L53" i="2" s="1"/>
  <c r="M17" i="2"/>
  <c r="M53" i="2" s="1"/>
  <c r="L18" i="2"/>
  <c r="M18" i="2"/>
  <c r="L19" i="2"/>
  <c r="M19" i="2"/>
  <c r="L20" i="2"/>
  <c r="M20" i="2"/>
  <c r="L21" i="2"/>
  <c r="M21" i="2"/>
  <c r="L22" i="2"/>
  <c r="M22" i="2"/>
  <c r="L23" i="2"/>
  <c r="M23" i="2"/>
  <c r="L24" i="2"/>
  <c r="M24" i="2"/>
  <c r="L25" i="2"/>
  <c r="M25" i="2"/>
  <c r="L26" i="2"/>
  <c r="L62" i="2" s="1"/>
  <c r="M26" i="2"/>
  <c r="L27" i="2"/>
  <c r="L63" i="2" s="1"/>
  <c r="M27" i="2"/>
  <c r="L28" i="2"/>
  <c r="M28" i="2"/>
  <c r="M64" i="2" s="1"/>
  <c r="L29" i="2"/>
  <c r="M29" i="2"/>
  <c r="L30" i="2"/>
  <c r="M30" i="2"/>
  <c r="M66" i="2" s="1"/>
  <c r="L31" i="2"/>
  <c r="M31" i="2"/>
  <c r="L32" i="2"/>
  <c r="M32" i="2"/>
  <c r="L33" i="2"/>
  <c r="M33" i="2"/>
  <c r="M4" i="2"/>
  <c r="L4" i="2"/>
  <c r="L46" i="2"/>
  <c r="M46" i="2"/>
  <c r="L48" i="2"/>
  <c r="M56" i="2"/>
  <c r="L70" i="2"/>
  <c r="L71" i="2"/>
  <c r="M71" i="2"/>
  <c r="L72" i="2"/>
  <c r="L73" i="2"/>
  <c r="M73" i="2"/>
  <c r="L74" i="2"/>
  <c r="M74" i="2"/>
  <c r="M76" i="2"/>
  <c r="L77" i="2"/>
  <c r="L79" i="2"/>
  <c r="M79" i="2"/>
  <c r="L80" i="2"/>
  <c r="L81" i="2"/>
  <c r="M81" i="2"/>
  <c r="L82" i="2"/>
  <c r="M82" i="2"/>
  <c r="M84" i="2"/>
  <c r="L85" i="2"/>
  <c r="M85" i="2"/>
  <c r="L87" i="2"/>
  <c r="M87" i="2"/>
  <c r="L88" i="2"/>
  <c r="L89" i="2"/>
  <c r="M89" i="2"/>
  <c r="L90" i="2"/>
  <c r="M90" i="2"/>
  <c r="M92" i="2"/>
  <c r="L93" i="2"/>
  <c r="M93" i="2"/>
  <c r="L95" i="2"/>
  <c r="M95" i="2"/>
  <c r="L96" i="2"/>
  <c r="L97" i="2"/>
  <c r="M97" i="2"/>
  <c r="L98" i="2"/>
  <c r="M98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B70" i="2"/>
  <c r="A70" i="2"/>
  <c r="A41" i="2"/>
  <c r="B41" i="2"/>
  <c r="L41" i="2"/>
  <c r="M41" i="2"/>
  <c r="A42" i="2"/>
  <c r="B42" i="2"/>
  <c r="L42" i="2"/>
  <c r="M42" i="2"/>
  <c r="A43" i="2"/>
  <c r="B43" i="2"/>
  <c r="L43" i="2"/>
  <c r="M43" i="2"/>
  <c r="A44" i="2"/>
  <c r="B44" i="2"/>
  <c r="L44" i="2"/>
  <c r="M44" i="2"/>
  <c r="A45" i="2"/>
  <c r="B45" i="2"/>
  <c r="M45" i="2"/>
  <c r="A46" i="2"/>
  <c r="B46" i="2"/>
  <c r="A47" i="2"/>
  <c r="B47" i="2"/>
  <c r="A48" i="2"/>
  <c r="B48" i="2"/>
  <c r="A49" i="2"/>
  <c r="B49" i="2"/>
  <c r="L49" i="2"/>
  <c r="A50" i="2"/>
  <c r="B50" i="2"/>
  <c r="L50" i="2"/>
  <c r="M50" i="2"/>
  <c r="A51" i="2"/>
  <c r="B51" i="2"/>
  <c r="L51" i="2"/>
  <c r="M51" i="2"/>
  <c r="A52" i="2"/>
  <c r="B52" i="2"/>
  <c r="L52" i="2"/>
  <c r="M52" i="2"/>
  <c r="A53" i="2"/>
  <c r="B53" i="2"/>
  <c r="A54" i="2"/>
  <c r="B54" i="2"/>
  <c r="L54" i="2"/>
  <c r="M54" i="2"/>
  <c r="A55" i="2"/>
  <c r="B55" i="2"/>
  <c r="L55" i="2"/>
  <c r="M55" i="2"/>
  <c r="A56" i="2"/>
  <c r="B56" i="2"/>
  <c r="L56" i="2"/>
  <c r="A57" i="2"/>
  <c r="B57" i="2"/>
  <c r="L57" i="2"/>
  <c r="M57" i="2"/>
  <c r="A58" i="2"/>
  <c r="B58" i="2"/>
  <c r="L58" i="2"/>
  <c r="M58" i="2"/>
  <c r="A59" i="2"/>
  <c r="B59" i="2"/>
  <c r="L59" i="2"/>
  <c r="M59" i="2"/>
  <c r="A60" i="2"/>
  <c r="B60" i="2"/>
  <c r="L60" i="2"/>
  <c r="M60" i="2"/>
  <c r="A61" i="2"/>
  <c r="B61" i="2"/>
  <c r="L61" i="2"/>
  <c r="M61" i="2"/>
  <c r="A62" i="2"/>
  <c r="B62" i="2"/>
  <c r="M62" i="2"/>
  <c r="A63" i="2"/>
  <c r="B63" i="2"/>
  <c r="M63" i="2"/>
  <c r="A64" i="2"/>
  <c r="B64" i="2"/>
  <c r="L64" i="2"/>
  <c r="A65" i="2"/>
  <c r="B65" i="2"/>
  <c r="L65" i="2"/>
  <c r="M65" i="2"/>
  <c r="A66" i="2"/>
  <c r="B66" i="2"/>
  <c r="L66" i="2"/>
  <c r="A67" i="2"/>
  <c r="B67" i="2"/>
  <c r="L67" i="2"/>
  <c r="M67" i="2"/>
  <c r="A68" i="2"/>
  <c r="B68" i="2"/>
  <c r="L68" i="2"/>
  <c r="M68" i="2"/>
  <c r="A69" i="2"/>
  <c r="B69" i="2"/>
  <c r="L69" i="2"/>
  <c r="M69" i="2"/>
  <c r="B40" i="2"/>
  <c r="L40" i="2"/>
  <c r="M40" i="2"/>
  <c r="A40" i="2"/>
  <c r="S7" i="2"/>
  <c r="U7" i="2" s="1"/>
  <c r="E73" i="2" s="1"/>
  <c r="S18" i="2"/>
  <c r="V18" i="2" s="1"/>
  <c r="S25" i="2"/>
  <c r="C91" i="2" s="1"/>
  <c r="S32" i="2"/>
  <c r="T32" i="2" s="1"/>
  <c r="D98" i="2" s="1"/>
  <c r="C7" i="2"/>
  <c r="C43" i="2" s="1"/>
  <c r="C10" i="2"/>
  <c r="D10" i="2" s="1"/>
  <c r="D46" i="2" s="1"/>
  <c r="C18" i="2"/>
  <c r="F18" i="2" s="1"/>
  <c r="C25" i="2"/>
  <c r="D25" i="2" s="1"/>
  <c r="D61" i="2" s="1"/>
  <c r="C30" i="2"/>
  <c r="F30" i="2" s="1"/>
  <c r="C31" i="2"/>
  <c r="F31" i="2" s="1"/>
  <c r="C32" i="2"/>
  <c r="F32" i="2" s="1"/>
  <c r="D4" i="1"/>
  <c r="F4" i="1" s="1"/>
  <c r="S4" i="2" s="1"/>
  <c r="D5" i="1"/>
  <c r="E5" i="1" s="1"/>
  <c r="D6" i="1"/>
  <c r="E6" i="1" s="1"/>
  <c r="D7" i="1"/>
  <c r="D8" i="1"/>
  <c r="E8" i="1" s="1"/>
  <c r="C8" i="2" s="1"/>
  <c r="D9" i="1"/>
  <c r="E9" i="1" s="1"/>
  <c r="C9" i="2" s="1"/>
  <c r="D9" i="2" s="1"/>
  <c r="D45" i="2" s="1"/>
  <c r="D10" i="1"/>
  <c r="E10" i="1" s="1"/>
  <c r="D11" i="1"/>
  <c r="E11" i="1" s="1"/>
  <c r="C11" i="2" s="1"/>
  <c r="C47" i="2" s="1"/>
  <c r="D12" i="1"/>
  <c r="E12" i="1" s="1"/>
  <c r="C12" i="2" s="1"/>
  <c r="D13" i="1"/>
  <c r="E13" i="1" s="1"/>
  <c r="C13" i="2" s="1"/>
  <c r="D14" i="1"/>
  <c r="E14" i="1" s="1"/>
  <c r="C14" i="2" s="1"/>
  <c r="F14" i="2" s="1"/>
  <c r="D15" i="1"/>
  <c r="E15" i="1" s="1"/>
  <c r="C15" i="2" s="1"/>
  <c r="F15" i="2" s="1"/>
  <c r="D16" i="1"/>
  <c r="E16" i="1" s="1"/>
  <c r="C16" i="2" s="1"/>
  <c r="D17" i="1"/>
  <c r="E17" i="1" s="1"/>
  <c r="C17" i="2" s="1"/>
  <c r="D18" i="1"/>
  <c r="D19" i="1"/>
  <c r="E19" i="1" s="1"/>
  <c r="C19" i="2" s="1"/>
  <c r="F19" i="2" s="1"/>
  <c r="F55" i="2" s="1"/>
  <c r="D20" i="1"/>
  <c r="F20" i="1" s="1"/>
  <c r="S20" i="2" s="1"/>
  <c r="D21" i="1"/>
  <c r="E21" i="1" s="1"/>
  <c r="D22" i="1"/>
  <c r="E22" i="1" s="1"/>
  <c r="D23" i="1"/>
  <c r="E23" i="1" s="1"/>
  <c r="D24" i="1"/>
  <c r="E24" i="1" s="1"/>
  <c r="C24" i="2" s="1"/>
  <c r="D25" i="1"/>
  <c r="D26" i="1"/>
  <c r="E26" i="1" s="1"/>
  <c r="C26" i="2" s="1"/>
  <c r="D26" i="2" s="1"/>
  <c r="D62" i="2" s="1"/>
  <c r="D27" i="1"/>
  <c r="E27" i="1" s="1"/>
  <c r="C27" i="2" s="1"/>
  <c r="C63" i="2" s="1"/>
  <c r="D28" i="1"/>
  <c r="E28" i="1" s="1"/>
  <c r="C28" i="2" s="1"/>
  <c r="D29" i="1"/>
  <c r="E29" i="1" s="1"/>
  <c r="C29" i="2" s="1"/>
  <c r="D30" i="1"/>
  <c r="E30" i="1" s="1"/>
  <c r="D31" i="1"/>
  <c r="E31" i="1" s="1"/>
  <c r="D32" i="1"/>
  <c r="D33" i="1"/>
  <c r="E33" i="1" s="1"/>
  <c r="C33" i="2" s="1"/>
  <c r="U4" i="2" l="1"/>
  <c r="E70" i="2" s="1"/>
  <c r="V4" i="2"/>
  <c r="C70" i="2"/>
  <c r="F19" i="1"/>
  <c r="S19" i="2" s="1"/>
  <c r="T19" i="2" s="1"/>
  <c r="D85" i="2" s="1"/>
  <c r="T7" i="2"/>
  <c r="D73" i="2" s="1"/>
  <c r="U32" i="2"/>
  <c r="E98" i="2" s="1"/>
  <c r="U18" i="2"/>
  <c r="E84" i="2" s="1"/>
  <c r="V32" i="2"/>
  <c r="K32" i="2"/>
  <c r="F68" i="2"/>
  <c r="AA18" i="2"/>
  <c r="K84" i="2" s="1"/>
  <c r="F84" i="2"/>
  <c r="F16" i="2"/>
  <c r="C52" i="2"/>
  <c r="D16" i="2"/>
  <c r="D52" i="2" s="1"/>
  <c r="E16" i="2"/>
  <c r="E52" i="2" s="1"/>
  <c r="K30" i="2"/>
  <c r="K66" i="2" s="1"/>
  <c r="G30" i="2"/>
  <c r="F66" i="2"/>
  <c r="K31" i="2"/>
  <c r="F67" i="2"/>
  <c r="D29" i="2"/>
  <c r="D65" i="2" s="1"/>
  <c r="E29" i="2"/>
  <c r="E65" i="2" s="1"/>
  <c r="C65" i="2"/>
  <c r="F29" i="2"/>
  <c r="D13" i="2"/>
  <c r="D49" i="2" s="1"/>
  <c r="E13" i="2"/>
  <c r="E49" i="2" s="1"/>
  <c r="C49" i="2"/>
  <c r="F13" i="2"/>
  <c r="C69" i="2"/>
  <c r="F33" i="2"/>
  <c r="D33" i="2"/>
  <c r="D69" i="2" s="1"/>
  <c r="E33" i="2"/>
  <c r="E69" i="2" s="1"/>
  <c r="C64" i="2"/>
  <c r="D28" i="2"/>
  <c r="D64" i="2" s="1"/>
  <c r="E28" i="2"/>
  <c r="E64" i="2" s="1"/>
  <c r="F28" i="2"/>
  <c r="C48" i="2"/>
  <c r="D12" i="2"/>
  <c r="D48" i="2" s="1"/>
  <c r="E12" i="2"/>
  <c r="E48" i="2" s="1"/>
  <c r="F12" i="2"/>
  <c r="C85" i="2"/>
  <c r="K18" i="2"/>
  <c r="K54" i="2" s="1"/>
  <c r="F54" i="2"/>
  <c r="W4" i="2"/>
  <c r="K15" i="2"/>
  <c r="F51" i="2"/>
  <c r="K14" i="2"/>
  <c r="K50" i="2" s="1"/>
  <c r="G14" i="2"/>
  <c r="F50" i="2"/>
  <c r="D8" i="2"/>
  <c r="D44" i="2" s="1"/>
  <c r="E8" i="2"/>
  <c r="E44" i="2" s="1"/>
  <c r="F8" i="2"/>
  <c r="C44" i="2"/>
  <c r="D24" i="2"/>
  <c r="D60" i="2" s="1"/>
  <c r="E24" i="2"/>
  <c r="E60" i="2" s="1"/>
  <c r="F24" i="2"/>
  <c r="C60" i="2"/>
  <c r="C53" i="2"/>
  <c r="F17" i="2"/>
  <c r="D17" i="2"/>
  <c r="D53" i="2" s="1"/>
  <c r="E17" i="2"/>
  <c r="E53" i="2" s="1"/>
  <c r="T20" i="2"/>
  <c r="D86" i="2" s="1"/>
  <c r="C86" i="2"/>
  <c r="U20" i="2"/>
  <c r="E86" i="2" s="1"/>
  <c r="V20" i="2"/>
  <c r="C22" i="2"/>
  <c r="C6" i="2"/>
  <c r="E19" i="2"/>
  <c r="E55" i="2" s="1"/>
  <c r="T4" i="2"/>
  <c r="D70" i="2" s="1"/>
  <c r="T18" i="2"/>
  <c r="D84" i="2" s="1"/>
  <c r="C54" i="2"/>
  <c r="C98" i="2"/>
  <c r="F33" i="1"/>
  <c r="S33" i="2" s="1"/>
  <c r="C21" i="2"/>
  <c r="C5" i="2"/>
  <c r="E18" i="2"/>
  <c r="E54" i="2" s="1"/>
  <c r="F27" i="2"/>
  <c r="F11" i="2"/>
  <c r="V25" i="2"/>
  <c r="F17" i="1"/>
  <c r="S17" i="2" s="1"/>
  <c r="D19" i="2"/>
  <c r="D55" i="2" s="1"/>
  <c r="E32" i="2"/>
  <c r="E68" i="2" s="1"/>
  <c r="F26" i="2"/>
  <c r="F10" i="2"/>
  <c r="C55" i="2"/>
  <c r="C23" i="2"/>
  <c r="AA4" i="2"/>
  <c r="K70" i="2" s="1"/>
  <c r="D18" i="2"/>
  <c r="D54" i="2" s="1"/>
  <c r="E31" i="2"/>
  <c r="E67" i="2" s="1"/>
  <c r="E15" i="2"/>
  <c r="E51" i="2" s="1"/>
  <c r="F25" i="2"/>
  <c r="F9" i="2"/>
  <c r="V7" i="2"/>
  <c r="C66" i="2"/>
  <c r="C50" i="2"/>
  <c r="F70" i="2"/>
  <c r="E30" i="2"/>
  <c r="E66" i="2" s="1"/>
  <c r="E14" i="2"/>
  <c r="E50" i="2" s="1"/>
  <c r="C61" i="2"/>
  <c r="C45" i="2"/>
  <c r="C73" i="2"/>
  <c r="D32" i="2"/>
  <c r="D68" i="2" s="1"/>
  <c r="U25" i="2"/>
  <c r="E91" i="2" s="1"/>
  <c r="F7" i="2"/>
  <c r="C84" i="2"/>
  <c r="D31" i="2"/>
  <c r="D67" i="2" s="1"/>
  <c r="D15" i="2"/>
  <c r="D51" i="2" s="1"/>
  <c r="C67" i="2"/>
  <c r="C51" i="2"/>
  <c r="D30" i="2"/>
  <c r="D66" i="2" s="1"/>
  <c r="D14" i="2"/>
  <c r="D50" i="2" s="1"/>
  <c r="E27" i="2"/>
  <c r="E63" i="2" s="1"/>
  <c r="E11" i="2"/>
  <c r="E47" i="2" s="1"/>
  <c r="C62" i="2"/>
  <c r="C46" i="2"/>
  <c r="E26" i="2"/>
  <c r="E62" i="2" s="1"/>
  <c r="E10" i="2"/>
  <c r="E46" i="2" s="1"/>
  <c r="T25" i="2"/>
  <c r="D91" i="2" s="1"/>
  <c r="E25" i="2"/>
  <c r="E61" i="2" s="1"/>
  <c r="E9" i="2"/>
  <c r="E45" i="2" s="1"/>
  <c r="C68" i="2"/>
  <c r="D27" i="2"/>
  <c r="D63" i="2" s="1"/>
  <c r="D11" i="2"/>
  <c r="D47" i="2" s="1"/>
  <c r="E7" i="2"/>
  <c r="E43" i="2" s="1"/>
  <c r="D7" i="2"/>
  <c r="D43" i="2" s="1"/>
  <c r="K19" i="2"/>
  <c r="K55" i="2" s="1"/>
  <c r="E20" i="1"/>
  <c r="F16" i="1"/>
  <c r="S16" i="2" s="1"/>
  <c r="F31" i="1"/>
  <c r="S31" i="2" s="1"/>
  <c r="F15" i="1"/>
  <c r="S15" i="2" s="1"/>
  <c r="F30" i="1"/>
  <c r="S30" i="2" s="1"/>
  <c r="F14" i="1"/>
  <c r="S14" i="2" s="1"/>
  <c r="F29" i="1"/>
  <c r="S29" i="2" s="1"/>
  <c r="F13" i="1"/>
  <c r="S13" i="2" s="1"/>
  <c r="F28" i="1"/>
  <c r="S28" i="2" s="1"/>
  <c r="F12" i="1"/>
  <c r="S12" i="2" s="1"/>
  <c r="F27" i="1"/>
  <c r="S27" i="2" s="1"/>
  <c r="F11" i="1"/>
  <c r="S11" i="2" s="1"/>
  <c r="F26" i="1"/>
  <c r="S26" i="2" s="1"/>
  <c r="F10" i="1"/>
  <c r="S10" i="2" s="1"/>
  <c r="F9" i="1"/>
  <c r="S9" i="2" s="1"/>
  <c r="F24" i="1"/>
  <c r="S24" i="2" s="1"/>
  <c r="F8" i="1"/>
  <c r="S8" i="2" s="1"/>
  <c r="F23" i="1"/>
  <c r="S23" i="2" s="1"/>
  <c r="F22" i="1"/>
  <c r="S22" i="2" s="1"/>
  <c r="F6" i="1"/>
  <c r="S6" i="2" s="1"/>
  <c r="F21" i="1"/>
  <c r="S21" i="2" s="1"/>
  <c r="F5" i="1"/>
  <c r="S5" i="2" s="1"/>
  <c r="E4" i="1"/>
  <c r="V19" i="2" l="1"/>
  <c r="U19" i="2"/>
  <c r="E85" i="2" s="1"/>
  <c r="AA32" i="2"/>
  <c r="K98" i="2" s="1"/>
  <c r="F98" i="2"/>
  <c r="E6" i="2"/>
  <c r="E42" i="2" s="1"/>
  <c r="C42" i="2"/>
  <c r="F6" i="2"/>
  <c r="D6" i="2"/>
  <c r="D42" i="2" s="1"/>
  <c r="U17" i="2"/>
  <c r="E83" i="2" s="1"/>
  <c r="V17" i="2"/>
  <c r="C83" i="2"/>
  <c r="T17" i="2"/>
  <c r="D83" i="2" s="1"/>
  <c r="E22" i="2"/>
  <c r="E58" i="2" s="1"/>
  <c r="C58" i="2"/>
  <c r="F22" i="2"/>
  <c r="D22" i="2"/>
  <c r="D58" i="2" s="1"/>
  <c r="X4" i="2"/>
  <c r="G70" i="2"/>
  <c r="C75" i="2"/>
  <c r="T9" i="2"/>
  <c r="D75" i="2" s="1"/>
  <c r="U9" i="2"/>
  <c r="E75" i="2" s="1"/>
  <c r="V9" i="2"/>
  <c r="F45" i="2"/>
  <c r="K9" i="2"/>
  <c r="K45" i="2" s="1"/>
  <c r="F91" i="2"/>
  <c r="AA25" i="2"/>
  <c r="K91" i="2" s="1"/>
  <c r="F44" i="2"/>
  <c r="K8" i="2"/>
  <c r="K44" i="2" s="1"/>
  <c r="K33" i="2"/>
  <c r="F69" i="2"/>
  <c r="H30" i="2"/>
  <c r="G66" i="2"/>
  <c r="C76" i="2"/>
  <c r="T10" i="2"/>
  <c r="D76" i="2" s="1"/>
  <c r="U10" i="2"/>
  <c r="E76" i="2" s="1"/>
  <c r="V10" i="2"/>
  <c r="F61" i="2"/>
  <c r="K25" i="2"/>
  <c r="K11" i="2"/>
  <c r="K47" i="2" s="1"/>
  <c r="F47" i="2"/>
  <c r="T24" i="2"/>
  <c r="D90" i="2" s="1"/>
  <c r="C90" i="2"/>
  <c r="U24" i="2"/>
  <c r="E90" i="2" s="1"/>
  <c r="V24" i="2"/>
  <c r="AA19" i="2"/>
  <c r="K85" i="2" s="1"/>
  <c r="F85" i="2"/>
  <c r="F49" i="2"/>
  <c r="K13" i="2"/>
  <c r="T23" i="2"/>
  <c r="D89" i="2" s="1"/>
  <c r="U23" i="2"/>
  <c r="E89" i="2" s="1"/>
  <c r="C89" i="2"/>
  <c r="V23" i="2"/>
  <c r="T11" i="2"/>
  <c r="D77" i="2" s="1"/>
  <c r="U11" i="2"/>
  <c r="E77" i="2" s="1"/>
  <c r="C77" i="2"/>
  <c r="V11" i="2"/>
  <c r="G11" i="2"/>
  <c r="F60" i="2"/>
  <c r="K24" i="2"/>
  <c r="C20" i="2"/>
  <c r="AA7" i="2"/>
  <c r="K73" i="2" s="1"/>
  <c r="F73" i="2"/>
  <c r="F63" i="2"/>
  <c r="K27" i="2"/>
  <c r="K63" i="2" s="1"/>
  <c r="T27" i="2"/>
  <c r="D93" i="2" s="1"/>
  <c r="U27" i="2"/>
  <c r="E93" i="2" s="1"/>
  <c r="C93" i="2"/>
  <c r="V27" i="2"/>
  <c r="F43" i="2"/>
  <c r="K7" i="2"/>
  <c r="E5" i="2"/>
  <c r="E41" i="2" s="1"/>
  <c r="C41" i="2"/>
  <c r="F5" i="2"/>
  <c r="D5" i="2"/>
  <c r="D41" i="2" s="1"/>
  <c r="H14" i="2"/>
  <c r="G50" i="2"/>
  <c r="T22" i="2"/>
  <c r="D88" i="2" s="1"/>
  <c r="U22" i="2"/>
  <c r="E88" i="2" s="1"/>
  <c r="V22" i="2"/>
  <c r="C88" i="2"/>
  <c r="C92" i="2"/>
  <c r="T26" i="2"/>
  <c r="D92" i="2" s="1"/>
  <c r="U26" i="2"/>
  <c r="E92" i="2" s="1"/>
  <c r="V26" i="2"/>
  <c r="V12" i="2"/>
  <c r="T12" i="2"/>
  <c r="D78" i="2" s="1"/>
  <c r="C78" i="2"/>
  <c r="U12" i="2"/>
  <c r="E78" i="2" s="1"/>
  <c r="E21" i="2"/>
  <c r="E57" i="2" s="1"/>
  <c r="C57" i="2"/>
  <c r="F21" i="2"/>
  <c r="D21" i="2"/>
  <c r="D57" i="2" s="1"/>
  <c r="K16" i="2"/>
  <c r="F52" i="2"/>
  <c r="C59" i="2"/>
  <c r="D23" i="2"/>
  <c r="D59" i="2" s="1"/>
  <c r="E23" i="2"/>
  <c r="E59" i="2" s="1"/>
  <c r="F23" i="2"/>
  <c r="U33" i="2"/>
  <c r="E99" i="2" s="1"/>
  <c r="V33" i="2"/>
  <c r="C99" i="2"/>
  <c r="T33" i="2"/>
  <c r="D99" i="2" s="1"/>
  <c r="K17" i="2"/>
  <c r="F53" i="2"/>
  <c r="K12" i="2"/>
  <c r="F48" i="2"/>
  <c r="F65" i="2"/>
  <c r="K29" i="2"/>
  <c r="U16" i="2"/>
  <c r="E82" i="2" s="1"/>
  <c r="V16" i="2"/>
  <c r="T16" i="2"/>
  <c r="D82" i="2" s="1"/>
  <c r="C82" i="2"/>
  <c r="V28" i="2"/>
  <c r="T28" i="2"/>
  <c r="D94" i="2" s="1"/>
  <c r="C94" i="2"/>
  <c r="U28" i="2"/>
  <c r="E94" i="2" s="1"/>
  <c r="V13" i="2"/>
  <c r="C79" i="2"/>
  <c r="T13" i="2"/>
  <c r="D79" i="2" s="1"/>
  <c r="U13" i="2"/>
  <c r="E79" i="2" s="1"/>
  <c r="G18" i="2"/>
  <c r="T8" i="2"/>
  <c r="D74" i="2" s="1"/>
  <c r="C74" i="2"/>
  <c r="U8" i="2"/>
  <c r="E74" i="2" s="1"/>
  <c r="V8" i="2"/>
  <c r="AA20" i="2"/>
  <c r="K86" i="2" s="1"/>
  <c r="F86" i="2"/>
  <c r="W20" i="2"/>
  <c r="C4" i="2"/>
  <c r="V29" i="2"/>
  <c r="C95" i="2"/>
  <c r="T29" i="2"/>
  <c r="D95" i="2" s="1"/>
  <c r="U29" i="2"/>
  <c r="E95" i="2" s="1"/>
  <c r="W18" i="2"/>
  <c r="C71" i="2"/>
  <c r="T5" i="2"/>
  <c r="D71" i="2" s="1"/>
  <c r="U5" i="2"/>
  <c r="E71" i="2" s="1"/>
  <c r="V5" i="2"/>
  <c r="V14" i="2"/>
  <c r="C80" i="2"/>
  <c r="T14" i="2"/>
  <c r="D80" i="2" s="1"/>
  <c r="U14" i="2"/>
  <c r="E80" i="2" s="1"/>
  <c r="K10" i="2"/>
  <c r="F46" i="2"/>
  <c r="C97" i="2"/>
  <c r="V31" i="2"/>
  <c r="T31" i="2"/>
  <c r="D97" i="2" s="1"/>
  <c r="U31" i="2"/>
  <c r="E97" i="2" s="1"/>
  <c r="V30" i="2"/>
  <c r="C96" i="2"/>
  <c r="T30" i="2"/>
  <c r="D96" i="2" s="1"/>
  <c r="U30" i="2"/>
  <c r="E96" i="2" s="1"/>
  <c r="F62" i="2"/>
  <c r="K26" i="2"/>
  <c r="G15" i="2"/>
  <c r="K51" i="2"/>
  <c r="F64" i="2"/>
  <c r="K28" i="2"/>
  <c r="C87" i="2"/>
  <c r="T21" i="2"/>
  <c r="D87" i="2" s="1"/>
  <c r="U21" i="2"/>
  <c r="E87" i="2" s="1"/>
  <c r="V21" i="2"/>
  <c r="T6" i="2"/>
  <c r="D72" i="2" s="1"/>
  <c r="U6" i="2"/>
  <c r="E72" i="2" s="1"/>
  <c r="V6" i="2"/>
  <c r="C72" i="2"/>
  <c r="C81" i="2"/>
  <c r="V15" i="2"/>
  <c r="T15" i="2"/>
  <c r="D81" i="2" s="1"/>
  <c r="U15" i="2"/>
  <c r="E81" i="2" s="1"/>
  <c r="G31" i="2"/>
  <c r="K67" i="2"/>
  <c r="G32" i="2"/>
  <c r="K68" i="2"/>
  <c r="G19" i="2"/>
  <c r="W19" i="2" l="1"/>
  <c r="W32" i="2"/>
  <c r="W7" i="2"/>
  <c r="X7" i="2" s="1"/>
  <c r="G10" i="2"/>
  <c r="K46" i="2"/>
  <c r="AA29" i="2"/>
  <c r="K95" i="2" s="1"/>
  <c r="F95" i="2"/>
  <c r="G7" i="2"/>
  <c r="K43" i="2"/>
  <c r="H11" i="2"/>
  <c r="G47" i="2"/>
  <c r="F90" i="2"/>
  <c r="AA24" i="2"/>
  <c r="K90" i="2" s="1"/>
  <c r="K69" i="2"/>
  <c r="G33" i="2"/>
  <c r="K64" i="2"/>
  <c r="G28" i="2"/>
  <c r="G86" i="2"/>
  <c r="X20" i="2"/>
  <c r="W28" i="2"/>
  <c r="AA28" i="2"/>
  <c r="K94" i="2" s="1"/>
  <c r="F94" i="2"/>
  <c r="G8" i="2"/>
  <c r="F58" i="2"/>
  <c r="K22" i="2"/>
  <c r="F77" i="2"/>
  <c r="AA11" i="2"/>
  <c r="K77" i="2" s="1"/>
  <c r="G26" i="2"/>
  <c r="K62" i="2"/>
  <c r="AA14" i="2"/>
  <c r="K80" i="2" s="1"/>
  <c r="F80" i="2"/>
  <c r="F59" i="2"/>
  <c r="K23" i="2"/>
  <c r="K59" i="2" s="1"/>
  <c r="G23" i="2"/>
  <c r="AA12" i="2"/>
  <c r="K78" i="2" s="1"/>
  <c r="F78" i="2"/>
  <c r="AA15" i="2"/>
  <c r="K81" i="2" s="1"/>
  <c r="F81" i="2"/>
  <c r="AA5" i="2"/>
  <c r="K71" i="2" s="1"/>
  <c r="F71" i="2"/>
  <c r="W5" i="2"/>
  <c r="K53" i="2"/>
  <c r="G17" i="2"/>
  <c r="AA8" i="2"/>
  <c r="K74" i="2" s="1"/>
  <c r="F74" i="2"/>
  <c r="AA16" i="2"/>
  <c r="K82" i="2" s="1"/>
  <c r="W16" i="2"/>
  <c r="F82" i="2"/>
  <c r="AA23" i="2"/>
  <c r="K89" i="2" s="1"/>
  <c r="F89" i="2"/>
  <c r="W23" i="2"/>
  <c r="AA33" i="2"/>
  <c r="K99" i="2" s="1"/>
  <c r="F99" i="2"/>
  <c r="AA22" i="2"/>
  <c r="K88" i="2" s="1"/>
  <c r="F88" i="2"/>
  <c r="W22" i="2"/>
  <c r="G25" i="2"/>
  <c r="K61" i="2"/>
  <c r="W25" i="2"/>
  <c r="E4" i="2"/>
  <c r="E40" i="2" s="1"/>
  <c r="F4" i="2"/>
  <c r="D4" i="2"/>
  <c r="D40" i="2" s="1"/>
  <c r="C40" i="2"/>
  <c r="F93" i="2"/>
  <c r="AA27" i="2"/>
  <c r="K93" i="2" s="1"/>
  <c r="AA6" i="2"/>
  <c r="K72" i="2" s="1"/>
  <c r="F72" i="2"/>
  <c r="AA17" i="2"/>
  <c r="K83" i="2" s="1"/>
  <c r="W17" i="2"/>
  <c r="F83" i="2"/>
  <c r="H31" i="2"/>
  <c r="G67" i="2"/>
  <c r="AA30" i="2"/>
  <c r="K96" i="2" s="1"/>
  <c r="F96" i="2"/>
  <c r="X18" i="2"/>
  <c r="G84" i="2"/>
  <c r="G29" i="2"/>
  <c r="K65" i="2"/>
  <c r="G16" i="2"/>
  <c r="K52" i="2"/>
  <c r="F76" i="2"/>
  <c r="AA10" i="2"/>
  <c r="K76" i="2" s="1"/>
  <c r="F92" i="2"/>
  <c r="AA26" i="2"/>
  <c r="K92" i="2" s="1"/>
  <c r="K49" i="2"/>
  <c r="G13" i="2"/>
  <c r="G9" i="2"/>
  <c r="Y4" i="2"/>
  <c r="H70" i="2"/>
  <c r="H15" i="2"/>
  <c r="G51" i="2"/>
  <c r="H19" i="2"/>
  <c r="G55" i="2"/>
  <c r="AA21" i="2"/>
  <c r="K87" i="2" s="1"/>
  <c r="F87" i="2"/>
  <c r="W21" i="2"/>
  <c r="H18" i="2"/>
  <c r="G54" i="2"/>
  <c r="F57" i="2"/>
  <c r="K21" i="2"/>
  <c r="K57" i="2" s="1"/>
  <c r="I14" i="2"/>
  <c r="H50" i="2"/>
  <c r="E20" i="2"/>
  <c r="E56" i="2" s="1"/>
  <c r="F20" i="2"/>
  <c r="C56" i="2"/>
  <c r="D20" i="2"/>
  <c r="D56" i="2" s="1"/>
  <c r="F75" i="2"/>
  <c r="AA9" i="2"/>
  <c r="K75" i="2" s="1"/>
  <c r="F42" i="2"/>
  <c r="K6" i="2"/>
  <c r="AA31" i="2"/>
  <c r="K97" i="2" s="1"/>
  <c r="F97" i="2"/>
  <c r="G12" i="2"/>
  <c r="K48" i="2"/>
  <c r="AA13" i="2"/>
  <c r="K79" i="2" s="1"/>
  <c r="W13" i="2"/>
  <c r="F79" i="2"/>
  <c r="H32" i="2"/>
  <c r="G68" i="2"/>
  <c r="F41" i="2"/>
  <c r="K5" i="2"/>
  <c r="K41" i="2" s="1"/>
  <c r="G5" i="2"/>
  <c r="G24" i="2"/>
  <c r="K60" i="2"/>
  <c r="X19" i="2"/>
  <c r="G85" i="2"/>
  <c r="I30" i="2"/>
  <c r="H66" i="2"/>
  <c r="G27" i="2"/>
  <c r="G73" i="2" l="1"/>
  <c r="W15" i="2"/>
  <c r="W6" i="2"/>
  <c r="G72" i="2" s="1"/>
  <c r="X32" i="2"/>
  <c r="G98" i="2"/>
  <c r="H27" i="2"/>
  <c r="G63" i="2"/>
  <c r="H12" i="2"/>
  <c r="G48" i="2"/>
  <c r="I31" i="2"/>
  <c r="H67" i="2"/>
  <c r="X25" i="2"/>
  <c r="G91" i="2"/>
  <c r="W14" i="2"/>
  <c r="H28" i="2"/>
  <c r="G64" i="2"/>
  <c r="W31" i="2"/>
  <c r="W26" i="2"/>
  <c r="W8" i="2"/>
  <c r="H17" i="2"/>
  <c r="G53" i="2"/>
  <c r="Y19" i="2"/>
  <c r="H85" i="2"/>
  <c r="G71" i="2"/>
  <c r="X5" i="2"/>
  <c r="H26" i="2"/>
  <c r="G62" i="2"/>
  <c r="Y7" i="2"/>
  <c r="H73" i="2"/>
  <c r="W11" i="2"/>
  <c r="H24" i="2"/>
  <c r="G60" i="2"/>
  <c r="W24" i="2"/>
  <c r="H5" i="2"/>
  <c r="G41" i="2"/>
  <c r="H16" i="2"/>
  <c r="G52" i="2"/>
  <c r="X15" i="2"/>
  <c r="G81" i="2"/>
  <c r="W10" i="2"/>
  <c r="W9" i="2"/>
  <c r="I19" i="2"/>
  <c r="H55" i="2"/>
  <c r="W33" i="2"/>
  <c r="G22" i="2"/>
  <c r="K58" i="2"/>
  <c r="I11" i="2"/>
  <c r="H47" i="2"/>
  <c r="G83" i="2"/>
  <c r="X17" i="2"/>
  <c r="G6" i="2"/>
  <c r="K42" i="2"/>
  <c r="H29" i="2"/>
  <c r="G65" i="2"/>
  <c r="X23" i="2"/>
  <c r="G89" i="2"/>
  <c r="H25" i="2"/>
  <c r="G61" i="2"/>
  <c r="G87" i="2"/>
  <c r="X21" i="2"/>
  <c r="I15" i="2"/>
  <c r="H51" i="2"/>
  <c r="W27" i="2"/>
  <c r="H8" i="2"/>
  <c r="G44" i="2"/>
  <c r="H7" i="2"/>
  <c r="G43" i="2"/>
  <c r="I32" i="2"/>
  <c r="H68" i="2"/>
  <c r="K20" i="2"/>
  <c r="K56" i="2" s="1"/>
  <c r="F56" i="2"/>
  <c r="Y18" i="2"/>
  <c r="H84" i="2"/>
  <c r="W12" i="2"/>
  <c r="J30" i="2"/>
  <c r="J66" i="2" s="1"/>
  <c r="I66" i="2"/>
  <c r="Z4" i="2"/>
  <c r="J70" i="2" s="1"/>
  <c r="I70" i="2"/>
  <c r="W30" i="2"/>
  <c r="W29" i="2"/>
  <c r="G88" i="2"/>
  <c r="X22" i="2"/>
  <c r="X13" i="2"/>
  <c r="G79" i="2"/>
  <c r="H9" i="2"/>
  <c r="G45" i="2"/>
  <c r="X16" i="2"/>
  <c r="G82" i="2"/>
  <c r="H23" i="2"/>
  <c r="G59" i="2"/>
  <c r="X28" i="2"/>
  <c r="G94" i="2"/>
  <c r="I18" i="2"/>
  <c r="H54" i="2"/>
  <c r="H13" i="2"/>
  <c r="G49" i="2"/>
  <c r="F40" i="2"/>
  <c r="K4" i="2"/>
  <c r="Y20" i="2"/>
  <c r="H86" i="2"/>
  <c r="H33" i="2"/>
  <c r="G69" i="2"/>
  <c r="J14" i="2"/>
  <c r="J50" i="2" s="1"/>
  <c r="I50" i="2"/>
  <c r="G21" i="2"/>
  <c r="H10" i="2"/>
  <c r="G46" i="2"/>
  <c r="Y32" i="2" l="1"/>
  <c r="H98" i="2"/>
  <c r="X6" i="2"/>
  <c r="Y6" i="2" s="1"/>
  <c r="X8" i="2"/>
  <c r="G74" i="2"/>
  <c r="H22" i="2"/>
  <c r="G58" i="2"/>
  <c r="G80" i="2"/>
  <c r="X14" i="2"/>
  <c r="I10" i="2"/>
  <c r="H46" i="2"/>
  <c r="X12" i="2"/>
  <c r="G78" i="2"/>
  <c r="H6" i="2"/>
  <c r="G42" i="2"/>
  <c r="X24" i="2"/>
  <c r="G90" i="2"/>
  <c r="I13" i="2"/>
  <c r="H49" i="2"/>
  <c r="X31" i="2"/>
  <c r="G97" i="2"/>
  <c r="I24" i="2"/>
  <c r="H60" i="2"/>
  <c r="J19" i="2"/>
  <c r="J55" i="2" s="1"/>
  <c r="I55" i="2"/>
  <c r="Z7" i="2"/>
  <c r="J73" i="2" s="1"/>
  <c r="I73" i="2"/>
  <c r="Y25" i="2"/>
  <c r="H91" i="2"/>
  <c r="Y17" i="2"/>
  <c r="H83" i="2"/>
  <c r="I8" i="2"/>
  <c r="H44" i="2"/>
  <c r="J11" i="2"/>
  <c r="J47" i="2" s="1"/>
  <c r="I47" i="2"/>
  <c r="I28" i="2"/>
  <c r="H64" i="2"/>
  <c r="X9" i="2"/>
  <c r="G75" i="2"/>
  <c r="H88" i="2"/>
  <c r="Y22" i="2"/>
  <c r="I7" i="2"/>
  <c r="H43" i="2"/>
  <c r="X29" i="2"/>
  <c r="G95" i="2"/>
  <c r="G96" i="2"/>
  <c r="X30" i="2"/>
  <c r="X27" i="2"/>
  <c r="G93" i="2"/>
  <c r="Y28" i="2"/>
  <c r="H94" i="2"/>
  <c r="Y21" i="2"/>
  <c r="H87" i="2"/>
  <c r="I23" i="2"/>
  <c r="H59" i="2"/>
  <c r="Z18" i="2"/>
  <c r="J84" i="2" s="1"/>
  <c r="I84" i="2"/>
  <c r="Y16" i="2"/>
  <c r="H82" i="2"/>
  <c r="G76" i="2"/>
  <c r="X10" i="2"/>
  <c r="I26" i="2"/>
  <c r="H62" i="2"/>
  <c r="J31" i="2"/>
  <c r="J67" i="2" s="1"/>
  <c r="I67" i="2"/>
  <c r="G4" i="2"/>
  <c r="K40" i="2"/>
  <c r="I17" i="2"/>
  <c r="H53" i="2"/>
  <c r="H72" i="2"/>
  <c r="X11" i="2"/>
  <c r="G77" i="2"/>
  <c r="G57" i="2"/>
  <c r="H21" i="2"/>
  <c r="I25" i="2"/>
  <c r="H61" i="2"/>
  <c r="G20" i="2"/>
  <c r="Y23" i="2"/>
  <c r="H89" i="2"/>
  <c r="Y5" i="2"/>
  <c r="H71" i="2"/>
  <c r="I5" i="2"/>
  <c r="H41" i="2"/>
  <c r="G92" i="2"/>
  <c r="X26" i="2"/>
  <c r="J18" i="2"/>
  <c r="J54" i="2" s="1"/>
  <c r="I54" i="2"/>
  <c r="J15" i="2"/>
  <c r="J51" i="2" s="1"/>
  <c r="I51" i="2"/>
  <c r="G99" i="2"/>
  <c r="X33" i="2"/>
  <c r="I33" i="2"/>
  <c r="H69" i="2"/>
  <c r="I9" i="2"/>
  <c r="H45" i="2"/>
  <c r="Y15" i="2"/>
  <c r="H81" i="2"/>
  <c r="I12" i="2"/>
  <c r="H48" i="2"/>
  <c r="I29" i="2"/>
  <c r="H65" i="2"/>
  <c r="Z20" i="2"/>
  <c r="J86" i="2" s="1"/>
  <c r="I86" i="2"/>
  <c r="Y13" i="2"/>
  <c r="H79" i="2"/>
  <c r="J32" i="2"/>
  <c r="J68" i="2" s="1"/>
  <c r="I68" i="2"/>
  <c r="I16" i="2"/>
  <c r="H52" i="2"/>
  <c r="Z19" i="2"/>
  <c r="J85" i="2" s="1"/>
  <c r="I85" i="2"/>
  <c r="I27" i="2"/>
  <c r="H63" i="2"/>
  <c r="Z32" i="2" l="1"/>
  <c r="J98" i="2" s="1"/>
  <c r="I98" i="2"/>
  <c r="J13" i="2"/>
  <c r="J49" i="2" s="1"/>
  <c r="I49" i="2"/>
  <c r="J9" i="2"/>
  <c r="J45" i="2" s="1"/>
  <c r="I45" i="2"/>
  <c r="Z15" i="2"/>
  <c r="J81" i="2" s="1"/>
  <c r="I81" i="2"/>
  <c r="I6" i="2"/>
  <c r="H42" i="2"/>
  <c r="J8" i="2"/>
  <c r="J44" i="2" s="1"/>
  <c r="I44" i="2"/>
  <c r="J12" i="2"/>
  <c r="J48" i="2" s="1"/>
  <c r="I48" i="2"/>
  <c r="Y12" i="2"/>
  <c r="H78" i="2"/>
  <c r="J16" i="2"/>
  <c r="J52" i="2" s="1"/>
  <c r="I52" i="2"/>
  <c r="Z25" i="2"/>
  <c r="J91" i="2" s="1"/>
  <c r="I91" i="2"/>
  <c r="I21" i="2"/>
  <c r="H57" i="2"/>
  <c r="Y27" i="2"/>
  <c r="H93" i="2"/>
  <c r="H76" i="2"/>
  <c r="Y10" i="2"/>
  <c r="Z16" i="2"/>
  <c r="J82" i="2" s="1"/>
  <c r="I82" i="2"/>
  <c r="J7" i="2"/>
  <c r="J43" i="2" s="1"/>
  <c r="I43" i="2"/>
  <c r="J10" i="2"/>
  <c r="J46" i="2" s="1"/>
  <c r="I46" i="2"/>
  <c r="Z28" i="2"/>
  <c r="J94" i="2" s="1"/>
  <c r="I94" i="2"/>
  <c r="H96" i="2"/>
  <c r="Y30" i="2"/>
  <c r="Z13" i="2"/>
  <c r="J79" i="2" s="1"/>
  <c r="I79" i="2"/>
  <c r="Z22" i="2"/>
  <c r="J88" i="2" s="1"/>
  <c r="I88" i="2"/>
  <c r="H80" i="2"/>
  <c r="Y14" i="2"/>
  <c r="H4" i="2"/>
  <c r="G40" i="2"/>
  <c r="Y11" i="2"/>
  <c r="H77" i="2"/>
  <c r="J5" i="2"/>
  <c r="J41" i="2" s="1"/>
  <c r="I41" i="2"/>
  <c r="Y24" i="2"/>
  <c r="H90" i="2"/>
  <c r="H20" i="2"/>
  <c r="G56" i="2"/>
  <c r="J25" i="2"/>
  <c r="J61" i="2" s="1"/>
  <c r="I61" i="2"/>
  <c r="H92" i="2"/>
  <c r="Y26" i="2"/>
  <c r="Y9" i="2"/>
  <c r="H75" i="2"/>
  <c r="J24" i="2"/>
  <c r="J60" i="2" s="1"/>
  <c r="I60" i="2"/>
  <c r="I22" i="2"/>
  <c r="H58" i="2"/>
  <c r="J27" i="2"/>
  <c r="J63" i="2" s="1"/>
  <c r="I63" i="2"/>
  <c r="J26" i="2"/>
  <c r="J62" i="2" s="1"/>
  <c r="I62" i="2"/>
  <c r="Z5" i="2"/>
  <c r="J71" i="2" s="1"/>
  <c r="I71" i="2"/>
  <c r="Z23" i="2"/>
  <c r="J89" i="2" s="1"/>
  <c r="I89" i="2"/>
  <c r="Z17" i="2"/>
  <c r="J83" i="2" s="1"/>
  <c r="I83" i="2"/>
  <c r="J33" i="2"/>
  <c r="J69" i="2" s="1"/>
  <c r="I69" i="2"/>
  <c r="Y33" i="2"/>
  <c r="H99" i="2"/>
  <c r="Y29" i="2"/>
  <c r="H95" i="2"/>
  <c r="Z6" i="2"/>
  <c r="J72" i="2" s="1"/>
  <c r="I72" i="2"/>
  <c r="J23" i="2"/>
  <c r="J59" i="2" s="1"/>
  <c r="I59" i="2"/>
  <c r="J29" i="2"/>
  <c r="J65" i="2" s="1"/>
  <c r="I65" i="2"/>
  <c r="J17" i="2"/>
  <c r="J53" i="2" s="1"/>
  <c r="I53" i="2"/>
  <c r="Z21" i="2"/>
  <c r="J87" i="2" s="1"/>
  <c r="I87" i="2"/>
  <c r="J28" i="2"/>
  <c r="J64" i="2" s="1"/>
  <c r="I64" i="2"/>
  <c r="Y31" i="2"/>
  <c r="H97" i="2"/>
  <c r="Y8" i="2"/>
  <c r="H74" i="2"/>
  <c r="Z31" i="2" l="1"/>
  <c r="J97" i="2" s="1"/>
  <c r="I97" i="2"/>
  <c r="Z14" i="2"/>
  <c r="J80" i="2" s="1"/>
  <c r="I80" i="2"/>
  <c r="Z10" i="2"/>
  <c r="J76" i="2" s="1"/>
  <c r="I76" i="2"/>
  <c r="Z29" i="2"/>
  <c r="J95" i="2" s="1"/>
  <c r="I95" i="2"/>
  <c r="Z33" i="2"/>
  <c r="J99" i="2" s="1"/>
  <c r="I99" i="2"/>
  <c r="Z9" i="2"/>
  <c r="J75" i="2" s="1"/>
  <c r="I75" i="2"/>
  <c r="J6" i="2"/>
  <c r="J42" i="2" s="1"/>
  <c r="I42" i="2"/>
  <c r="Z24" i="2"/>
  <c r="J90" i="2" s="1"/>
  <c r="I90" i="2"/>
  <c r="Z12" i="2"/>
  <c r="J78" i="2" s="1"/>
  <c r="I78" i="2"/>
  <c r="I4" i="2"/>
  <c r="H40" i="2"/>
  <c r="Z11" i="2"/>
  <c r="J77" i="2" s="1"/>
  <c r="I77" i="2"/>
  <c r="Z26" i="2"/>
  <c r="J92" i="2" s="1"/>
  <c r="I92" i="2"/>
  <c r="Z27" i="2"/>
  <c r="J93" i="2" s="1"/>
  <c r="I93" i="2"/>
  <c r="Z8" i="2"/>
  <c r="J74" i="2" s="1"/>
  <c r="I74" i="2"/>
  <c r="J22" i="2"/>
  <c r="J58" i="2" s="1"/>
  <c r="I58" i="2"/>
  <c r="J21" i="2"/>
  <c r="J57" i="2" s="1"/>
  <c r="I57" i="2"/>
  <c r="Z30" i="2"/>
  <c r="J96" i="2" s="1"/>
  <c r="I96" i="2"/>
  <c r="I20" i="2"/>
  <c r="H56" i="2"/>
  <c r="J20" i="2" l="1"/>
  <c r="J56" i="2" s="1"/>
  <c r="I56" i="2"/>
  <c r="J4" i="2"/>
  <c r="J40" i="2" s="1"/>
  <c r="I4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B87D26-E1EB-46F1-A776-A9C8F8A06F31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<sst xmlns="http://schemas.openxmlformats.org/spreadsheetml/2006/main" count="2180" uniqueCount="54">
  <si>
    <t>Region</t>
  </si>
  <si>
    <t>Buildings</t>
  </si>
  <si>
    <t>Industry</t>
  </si>
  <si>
    <t>AT</t>
  </si>
  <si>
    <t>BE</t>
  </si>
  <si>
    <t>BG</t>
  </si>
  <si>
    <t>CH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</si>
  <si>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</si>
  <si>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</si>
  <si>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</si>
  <si>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</si>
  <si>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</si>
  <si>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</si>
  <si>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</si>
  <si>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</si>
  <si>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</si>
  <si>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</si>
  <si>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</si>
  <si>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</si>
  <si>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</si>
  <si>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</si>
  <si>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</si>
  <si>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NL</t>
  </si>
  <si>
    <t>NO</t>
  </si>
  <si>
    <t>NONEU_Balkan</t>
  </si>
  <si>
    <t>PL</t>
  </si>
  <si>
    <t>PT</t>
  </si>
  <si>
    <t>RO</t>
  </si>
  <si>
    <t>SE</t>
  </si>
  <si>
    <t>SI</t>
  </si>
  <si>
    <t>SK</t>
  </si>
  <si>
    <t>TR</t>
  </si>
  <si>
    <t>UK</t>
  </si>
  <si>
    <t>Total</t>
  </si>
  <si>
    <t>Split Buildings</t>
  </si>
  <si>
    <t>Split Industry</t>
  </si>
  <si>
    <t>2018</t>
  </si>
  <si>
    <t>2020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</si>
  <si>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</si>
  <si>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</si>
  <si>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</si>
  <si>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</si>
  <si>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</si>
  <si>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</si>
  <si>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</si>
  <si>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</si>
  <si>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</si>
  <si>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Fuel</t>
  </si>
  <si>
    <t>Heat_Buildings</t>
  </si>
  <si>
    <t>Heat_Low_Industrial</t>
  </si>
  <si>
    <t>Year</t>
  </si>
  <si>
    <t>Value</t>
  </si>
  <si>
    <t>Column1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</si>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</sst>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A46577-31A9-4DD0-87B6-FE77EE522C3A}" autoFormatId="16" applyNumberFormats="0" applyBorderFormats="0" applyFontFormats="0" applyPatternFormats="0" applyAlignmentFormats="0" applyWidthHeightFormats="0">
  <queryTableRefresh nextId="6">
    <queryTableFields count="4">
      <queryTableField id="1" name="Region" tableColumnId="1"/>
      <queryTableField id="2" name="Fuel" tableColumnId="2"/>
      <queryTableField id="3" name="Year" tableColumnId="3"/>
      <queryTableField id="4" name="Value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90E39-53C9-4D60-99EC-E1AB1EB7F7AA}" name="Table1" displayName="Table1" ref="A3:G33" totalsRowShown="0">
  <autoFilter ref="A3:G33" xr:uid="{EA790E39-53C9-4D60-99EC-E1AB1EB7F7AA}"/>
  <sortState xmlns:xlrd2="http://schemas.microsoft.com/office/spreadsheetml/2017/richdata2" ref="A4:C33">
    <sortCondition ref="A4:A34"/>
  </sortState>
  <tableColumns count="7">
    <tableColumn id="1" xr3:uid="{3C24233E-1E24-4DD0-9470-66A56BCCDCBD}" name="Region"/>
    <tableColumn id="2" xr3:uid="{7C636C7D-6388-4A67-AA80-5093BF8EC83A}" name="Buildings"/>
    <tableColumn id="3" xr3:uid="{591B1113-872D-488F-8030-BA81873BB154}" name="Industry"/>
    <tableColumn id="4" xr3:uid="{EBF71F0A-4241-441B-BB7F-4111A25F7999}" name="Total" dataDxfId="6">
      <calculatedColumnFormula>SUM(Table1[[#This Row],[Buildings]:[Industry]])</calculatedColumnFormula>
    </tableColumn>
    <tableColumn id="5" xr3:uid="{BFCE9626-E5EE-47A8-A2A1-E58DCF561E44}" name="Split Buildings" dataDxfId="5">
      <calculatedColumnFormula>ROUND(Table1[[#This Row],[Buildings]]/Table1[[#This Row],[Total]],2)</calculatedColumnFormula>
    </tableColumn>
    <tableColumn id="6" xr3:uid="{EB46F705-7D63-4E1E-B6D9-B5F274E8D493}" name="Split Industry" dataDxfId="4">
      <calculatedColumnFormula>ROUND(Table1[[#This Row],[Industry]]/Table1[[#This Row],[Total]],2)</calculatedColumnFormula>
    </tableColumn>
    <tableColumn id="7" xr3:uid="{01A7A58C-F275-4CB2-AD11-CE48189E667D}" name="Column1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E9E1D1-AA06-4A46-8817-31FB738F7A86}" name="Table2" displayName="Table2" ref="A39:M99" totalsRowShown="0">
  <autoFilter ref="A39:M99" xr:uid="{E1E9E1D1-AA06-4A46-8817-31FB738F7A86}"/>
  <tableColumns count="13">
    <tableColumn id="1" xr3:uid="{579BDCE6-1C73-47C7-BB38-55B2F787DFD8}" name="Region"/>
    <tableColumn id="2" xr3:uid="{1666805A-A0DD-45CF-8496-BAC341667536}" name="Sector"/>
    <tableColumn id="3" xr3:uid="{E357DC0F-EC34-4513-BC67-852A9AA71D23}" name="2018"/>
    <tableColumn id="4" xr3:uid="{48693296-6229-4CE3-BA2E-C76AB6677C11}" name="2020"/>
    <tableColumn id="5" xr3:uid="{3E8CB33F-D7AA-484A-A787-78C8AFCB42BD}" name="2021"/>
    <tableColumn id="6" xr3:uid="{60072F76-3E9A-4735-BC8A-817E7629CE43}" name="2025"/>
    <tableColumn id="7" xr3:uid="{59E6CD17-C814-4A2A-9D3F-648AFAE40396}" name="2030"/>
    <tableColumn id="8" xr3:uid="{B4248DD3-1063-49C7-8C26-C6463B868EAA}" name="2035"/>
    <tableColumn id="9" xr3:uid="{416FADC5-269F-4B81-BBE9-AD1EF8858D9E}" name="2040"/>
    <tableColumn id="10" xr3:uid="{77C23702-DE9F-43CC-BD03-181DB8156DE0}" name="2045"/>
    <tableColumn id="11" xr3:uid="{E3026C06-6E89-433D-8DEE-57C77522C53F}" name="2050"/>
    <tableColumn id="12" xr3:uid="{DF79FFEB-9AE3-42C0-9A4A-4551D5E86420}" name="2055"/>
    <tableColumn id="13" xr3:uid="{FD2101A0-87F6-41DF-9128-490A0B33328A}" name="20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5214BC-0E36-4FE5-A575-809D03677748}" name="Table2_1" displayName="Table2_1" ref="A1:D661" tableType="queryTable" totalsRowShown="0">
  <autoFilter ref="A1:D661" xr:uid="{475214BC-0E36-4FE5-A575-809D03677748}"/>
  <tableColumns count="4">
    <tableColumn id="1" xr3:uid="{D8766778-D90F-47D9-8660-EC972AB7476D}" uniqueName="1" name="Region" queryTableFieldId="1" dataDxfId="3"/>
    <tableColumn id="2" xr3:uid="{04DE3611-CE38-4C05-8DBB-560B71EB047E}" uniqueName="2" name="Fuel" queryTableFieldId="2" dataDxfId="2"/>
    <tableColumn id="3" xr3:uid="{BE333916-888D-4073-B5FD-30D9E377248C}" uniqueName="3" name="Year" queryTableFieldId="3" dataDxfId="1"/>
    <tableColumn id="4" xr3:uid="{EEAF8AB3-ABC0-47ED-9915-636693BCA3D4}" uniqueName="4" name="Value" queryTableField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7604-74CB-453C-9C4F-1053CE293693}">
  <dimension ref="A3:G33"/>
  <sheetViews>
    <sheetView workbookViewId="0">
      <selection activeCell="C29" sqref="C29"/>
    </sheetView>
  </sheetViews>
  <sheetFormatPr defaultRowHeight="14.4" x14ac:dyDescent="0.3"/>
  <sheetData>
    <row r="3" spans="1:7" x14ac:dyDescent="0.3">
      <c r="A3" t="s">
        <v>0</v>
      </c>
      <c r="B3" t="s">
        <v>1</v>
      </c>
      <c r="C3" t="s">
        <v>2</v>
      </c>
      <c r="D3" t="s">
        <v>33</v>
      </c>
      <c r="E3" t="s">
        <v>34</v>
      </c>
      <c r="F3" t="s">
        <v>35</v>
      </c>
      <c r="G3" t="s">
        <v>52</v>
      </c>
    </row>
    <row r="4" spans="1:7" x14ac:dyDescent="0.3">
      <c r="A4" t="s">
        <v>3</v>
      </c>
      <c r="B4">
        <v>58.968000000000004</v>
      </c>
      <c r="C4">
        <v>11.231999999999999</v>
      </c>
      <c r="D4">
        <f>SUM(Table1[[#This Row],[Buildings]:[Industry]])</f>
        <v>70.2</v>
      </c>
      <c r="E4">
        <f>ROUND(Table1[[#This Row],[Buildings]]/Table1[[#This Row],[Total]],2)</f>
        <v>0.84</v>
      </c>
      <c r="F4">
        <f>ROUND(Table1[[#This Row],[Industry]]/Table1[[#This Row],[Total]],2)</f>
        <v>0.16</v>
      </c>
      <c r="G4" s="1"/>
    </row>
    <row r="5" spans="1:7" x14ac:dyDescent="0.3">
      <c r="A5" t="s">
        <v>4</v>
      </c>
      <c r="B5">
        <v>0.93289999999999995</v>
      </c>
      <c r="C5">
        <v>0.34510000000000002</v>
      </c>
      <c r="D5">
        <f>SUM(Table1[[#This Row],[Buildings]:[Industry]])</f>
        <v>1.278</v>
      </c>
      <c r="E5">
        <f>ROUND(Table1[[#This Row],[Buildings]]/Table1[[#This Row],[Total]],2)</f>
        <v>0.73</v>
      </c>
      <c r="F5">
        <f>ROUND(Table1[[#This Row],[Industry]]/Table1[[#This Row],[Total]],2)</f>
        <v>0.27</v>
      </c>
      <c r="G5" s="1"/>
    </row>
    <row r="6" spans="1:7" x14ac:dyDescent="0.3">
      <c r="A6" t="s">
        <v>5</v>
      </c>
      <c r="B6">
        <v>18.223199999999999</v>
      </c>
      <c r="C6">
        <v>2.2644000000000002</v>
      </c>
      <c r="D6">
        <f>SUM(Table1[[#This Row],[Buildings]:[Industry]])</f>
        <v>20.4876</v>
      </c>
      <c r="E6">
        <f>ROUND(Table1[[#This Row],[Buildings]]/Table1[[#This Row],[Total]],2)</f>
        <v>0.89</v>
      </c>
      <c r="F6">
        <f>ROUND(Table1[[#This Row],[Industry]]/Table1[[#This Row],[Total]],2)</f>
        <v>0.11</v>
      </c>
      <c r="G6" s="1"/>
    </row>
    <row r="7" spans="1:7" x14ac:dyDescent="0.3">
      <c r="A7" t="s">
        <v>6</v>
      </c>
      <c r="D7">
        <f>SUM(Table1[[#This Row],[Buildings]:[Industry]])</f>
        <v>0</v>
      </c>
      <c r="E7">
        <v>0</v>
      </c>
      <c r="F7">
        <v>0</v>
      </c>
      <c r="G7" s="1"/>
    </row>
    <row r="8" spans="1:7" x14ac:dyDescent="0.3">
      <c r="A8" t="s">
        <v>7</v>
      </c>
      <c r="B8">
        <v>39.9636</v>
      </c>
      <c r="C8">
        <v>20.494800000000001</v>
      </c>
      <c r="D8">
        <f>SUM(Table1[[#This Row],[Buildings]:[Industry]])</f>
        <v>60.458399999999997</v>
      </c>
      <c r="E8">
        <f>ROUND(Table1[[#This Row],[Buildings]]/Table1[[#This Row],[Total]],2)</f>
        <v>0.66</v>
      </c>
      <c r="F8">
        <f>ROUND(Table1[[#This Row],[Industry]]/Table1[[#This Row],[Total]],2)</f>
        <v>0.34</v>
      </c>
      <c r="G8" s="1"/>
    </row>
    <row r="9" spans="1:7" x14ac:dyDescent="0.3">
      <c r="A9" t="s">
        <v>8</v>
      </c>
      <c r="B9">
        <v>289.3716</v>
      </c>
      <c r="C9">
        <v>79.354799999999997</v>
      </c>
      <c r="D9">
        <f>SUM(Table1[[#This Row],[Buildings]:[Industry]])</f>
        <v>368.72640000000001</v>
      </c>
      <c r="E9">
        <f>ROUND(Table1[[#This Row],[Buildings]]/Table1[[#This Row],[Total]],2)</f>
        <v>0.78</v>
      </c>
      <c r="F9">
        <f>ROUND(Table1[[#This Row],[Industry]]/Table1[[#This Row],[Total]],2)</f>
        <v>0.22</v>
      </c>
      <c r="G9" s="1"/>
    </row>
    <row r="10" spans="1:7" x14ac:dyDescent="0.3">
      <c r="A10" t="s">
        <v>9</v>
      </c>
      <c r="B10">
        <v>104.91840000000001</v>
      </c>
      <c r="C10">
        <v>5.0759999999999996</v>
      </c>
      <c r="D10">
        <f>SUM(Table1[[#This Row],[Buildings]:[Industry]])</f>
        <v>109.9944</v>
      </c>
      <c r="E10">
        <f>ROUND(Table1[[#This Row],[Buildings]]/Table1[[#This Row],[Total]],2)</f>
        <v>0.95</v>
      </c>
      <c r="F10">
        <f>ROUND(Table1[[#This Row],[Industry]]/Table1[[#This Row],[Total]],2)</f>
        <v>0.05</v>
      </c>
      <c r="G10" s="1"/>
    </row>
    <row r="11" spans="1:7" x14ac:dyDescent="0.3">
      <c r="A11" t="s">
        <v>10</v>
      </c>
      <c r="B11">
        <v>18.1584</v>
      </c>
      <c r="C11">
        <v>1.4976</v>
      </c>
      <c r="D11">
        <f>SUM(Table1[[#This Row],[Buildings]:[Industry]])</f>
        <v>19.655999999999999</v>
      </c>
      <c r="E11">
        <f>ROUND(Table1[[#This Row],[Buildings]]/Table1[[#This Row],[Total]],2)</f>
        <v>0.92</v>
      </c>
      <c r="F11">
        <f>ROUND(Table1[[#This Row],[Industry]]/Table1[[#This Row],[Total]],2)</f>
        <v>0.08</v>
      </c>
      <c r="G11" s="1"/>
    </row>
    <row r="12" spans="1:7" x14ac:dyDescent="0.3">
      <c r="A12" t="s">
        <v>11</v>
      </c>
      <c r="B12">
        <v>1.4976</v>
      </c>
      <c r="C12">
        <v>0.42120000000000002</v>
      </c>
      <c r="D12">
        <f>SUM(Table1[[#This Row],[Buildings]:[Industry]])</f>
        <v>1.9188000000000001</v>
      </c>
      <c r="E12">
        <f>ROUND(Table1[[#This Row],[Buildings]]/Table1[[#This Row],[Total]],2)</f>
        <v>0.78</v>
      </c>
      <c r="F12">
        <f>ROUND(Table1[[#This Row],[Industry]]/Table1[[#This Row],[Total]],2)</f>
        <v>0.22</v>
      </c>
      <c r="G12" s="1"/>
    </row>
    <row r="13" spans="1:7" x14ac:dyDescent="0.3">
      <c r="A13" t="s">
        <v>12</v>
      </c>
      <c r="B13">
        <v>109.67400000000001</v>
      </c>
      <c r="C13">
        <v>10.926</v>
      </c>
      <c r="D13">
        <f>SUM(Table1[[#This Row],[Buildings]:[Industry]])</f>
        <v>120.60000000000001</v>
      </c>
      <c r="E13">
        <f>ROUND(Table1[[#This Row],[Buildings]]/Table1[[#This Row],[Total]],2)</f>
        <v>0.91</v>
      </c>
      <c r="F13">
        <f>ROUND(Table1[[#This Row],[Industry]]/Table1[[#This Row],[Total]],2)</f>
        <v>0.09</v>
      </c>
      <c r="G13" s="1"/>
    </row>
    <row r="14" spans="1:7" x14ac:dyDescent="0.3">
      <c r="A14" t="s">
        <v>13</v>
      </c>
      <c r="B14">
        <v>79.2</v>
      </c>
      <c r="C14">
        <v>12.24</v>
      </c>
      <c r="D14">
        <f>SUM(Table1[[#This Row],[Buildings]:[Industry]])</f>
        <v>91.44</v>
      </c>
      <c r="E14">
        <f>ROUND(Table1[[#This Row],[Buildings]]/Table1[[#This Row],[Total]],2)</f>
        <v>0.87</v>
      </c>
      <c r="F14">
        <f>ROUND(Table1[[#This Row],[Industry]]/Table1[[#This Row],[Total]],2)</f>
        <v>0.13</v>
      </c>
      <c r="G14" s="1"/>
    </row>
    <row r="15" spans="1:7" x14ac:dyDescent="0.3">
      <c r="A15" t="s">
        <v>14</v>
      </c>
      <c r="B15">
        <v>3.5</v>
      </c>
      <c r="C15">
        <v>0</v>
      </c>
      <c r="D15">
        <f>SUM(Table1[[#This Row],[Buildings]:[Industry]])</f>
        <v>3.5</v>
      </c>
      <c r="E15">
        <f>ROUND(Table1[[#This Row],[Buildings]]/Table1[[#This Row],[Total]],2)</f>
        <v>1</v>
      </c>
      <c r="F15">
        <f>ROUND(Table1[[#This Row],[Industry]]/Table1[[#This Row],[Total]],2)</f>
        <v>0</v>
      </c>
      <c r="G15" s="1"/>
    </row>
    <row r="16" spans="1:7" x14ac:dyDescent="0.3">
      <c r="A16" t="s">
        <v>15</v>
      </c>
      <c r="B16">
        <v>6.0624000000000002</v>
      </c>
      <c r="C16">
        <v>1.1304000000000001</v>
      </c>
      <c r="D16">
        <f>SUM(Table1[[#This Row],[Buildings]:[Industry]])</f>
        <v>7.1928000000000001</v>
      </c>
      <c r="E16">
        <f>ROUND(Table1[[#This Row],[Buildings]]/Table1[[#This Row],[Total]],2)</f>
        <v>0.84</v>
      </c>
      <c r="F16">
        <f>ROUND(Table1[[#This Row],[Industry]]/Table1[[#This Row],[Total]],2)</f>
        <v>0.16</v>
      </c>
      <c r="G16" s="1"/>
    </row>
    <row r="17" spans="1:7" x14ac:dyDescent="0.3">
      <c r="A17" t="s">
        <v>16</v>
      </c>
      <c r="B17">
        <v>25.9452</v>
      </c>
      <c r="C17">
        <v>0</v>
      </c>
      <c r="D17">
        <f>SUM(Table1[[#This Row],[Buildings]:[Industry]])</f>
        <v>25.9452</v>
      </c>
      <c r="E17">
        <f>ROUND(Table1[[#This Row],[Buildings]]/Table1[[#This Row],[Total]],2)</f>
        <v>1</v>
      </c>
      <c r="F17">
        <f>ROUND(Table1[[#This Row],[Industry]]/Table1[[#This Row],[Total]],2)</f>
        <v>0</v>
      </c>
      <c r="G17" s="1"/>
    </row>
    <row r="18" spans="1:7" x14ac:dyDescent="0.3">
      <c r="A18" t="s">
        <v>17</v>
      </c>
      <c r="B18">
        <v>0</v>
      </c>
      <c r="C18">
        <v>0</v>
      </c>
      <c r="D18">
        <f>SUM(Table1[[#This Row],[Buildings]:[Industry]])</f>
        <v>0</v>
      </c>
      <c r="E18">
        <v>0</v>
      </c>
      <c r="F18">
        <v>0</v>
      </c>
      <c r="G18" s="1"/>
    </row>
    <row r="19" spans="1:7" x14ac:dyDescent="0.3">
      <c r="A19" t="s">
        <v>18</v>
      </c>
      <c r="B19">
        <v>32.4</v>
      </c>
      <c r="C19">
        <v>1.0404</v>
      </c>
      <c r="D19">
        <f>SUM(Table1[[#This Row],[Buildings]:[Industry]])</f>
        <v>33.440399999999997</v>
      </c>
      <c r="E19">
        <f>ROUND(Table1[[#This Row],[Buildings]]/Table1[[#This Row],[Total]],2)</f>
        <v>0.97</v>
      </c>
      <c r="F19">
        <f>ROUND(Table1[[#This Row],[Industry]]/Table1[[#This Row],[Total]],2)</f>
        <v>0.03</v>
      </c>
      <c r="G19" s="1"/>
    </row>
    <row r="20" spans="1:7" x14ac:dyDescent="0.3">
      <c r="A20" t="s">
        <v>19</v>
      </c>
      <c r="B20">
        <v>27.521999999999998</v>
      </c>
      <c r="C20">
        <v>0</v>
      </c>
      <c r="D20">
        <f>SUM(Table1[[#This Row],[Buildings]:[Industry]])</f>
        <v>27.521999999999998</v>
      </c>
      <c r="E20">
        <f>ROUND(Table1[[#This Row],[Buildings]]/Table1[[#This Row],[Total]],2)</f>
        <v>1</v>
      </c>
      <c r="F20">
        <f>ROUND(Table1[[#This Row],[Industry]]/Table1[[#This Row],[Total]],2)</f>
        <v>0</v>
      </c>
      <c r="G20" s="1"/>
    </row>
    <row r="21" spans="1:7" x14ac:dyDescent="0.3">
      <c r="A21" t="s">
        <v>20</v>
      </c>
      <c r="B21">
        <v>3.0708000000000002</v>
      </c>
      <c r="C21">
        <v>2.1600000000000001E-2</v>
      </c>
      <c r="D21">
        <f>SUM(Table1[[#This Row],[Buildings]:[Industry]])</f>
        <v>3.0924</v>
      </c>
      <c r="E21">
        <f>ROUND(Table1[[#This Row],[Buildings]]/Table1[[#This Row],[Total]],2)</f>
        <v>0.99</v>
      </c>
      <c r="F21">
        <f>ROUND(Table1[[#This Row],[Industry]]/Table1[[#This Row],[Total]],2)</f>
        <v>0.01</v>
      </c>
      <c r="G21" s="1"/>
    </row>
    <row r="22" spans="1:7" x14ac:dyDescent="0.3">
      <c r="A22" t="s">
        <v>21</v>
      </c>
      <c r="B22">
        <v>20.934000000000001</v>
      </c>
      <c r="C22">
        <v>3.3912</v>
      </c>
      <c r="D22">
        <f>SUM(Table1[[#This Row],[Buildings]:[Industry]])</f>
        <v>24.325200000000002</v>
      </c>
      <c r="E22">
        <f>ROUND(Table1[[#This Row],[Buildings]]/Table1[[#This Row],[Total]],2)</f>
        <v>0.86</v>
      </c>
      <c r="F22">
        <f>ROUND(Table1[[#This Row],[Industry]]/Table1[[#This Row],[Total]],2)</f>
        <v>0.14000000000000001</v>
      </c>
      <c r="G22" s="1"/>
    </row>
    <row r="23" spans="1:7" x14ac:dyDescent="0.3">
      <c r="A23" t="s">
        <v>22</v>
      </c>
      <c r="B23">
        <v>18.115200000000002</v>
      </c>
      <c r="C23">
        <v>4.68</v>
      </c>
      <c r="D23">
        <f>SUM(Table1[[#This Row],[Buildings]:[Industry]])</f>
        <v>22.795200000000001</v>
      </c>
      <c r="E23">
        <f>ROUND(Table1[[#This Row],[Buildings]]/Table1[[#This Row],[Total]],2)</f>
        <v>0.79</v>
      </c>
      <c r="F23">
        <f>ROUND(Table1[[#This Row],[Industry]]/Table1[[#This Row],[Total]],2)</f>
        <v>0.21</v>
      </c>
      <c r="G23" s="1"/>
    </row>
    <row r="24" spans="1:7" x14ac:dyDescent="0.3">
      <c r="A24" t="s">
        <v>23</v>
      </c>
      <c r="B24">
        <v>17.557200000000002</v>
      </c>
      <c r="C24">
        <v>2.7576000000000001</v>
      </c>
      <c r="D24">
        <f>SUM(Table1[[#This Row],[Buildings]:[Industry]])</f>
        <v>20.314800000000002</v>
      </c>
      <c r="E24">
        <f>ROUND(Table1[[#This Row],[Buildings]]/Table1[[#This Row],[Total]],2)</f>
        <v>0.86</v>
      </c>
      <c r="F24">
        <f>ROUND(Table1[[#This Row],[Industry]]/Table1[[#This Row],[Total]],2)</f>
        <v>0.14000000000000001</v>
      </c>
      <c r="G24" s="1"/>
    </row>
    <row r="25" spans="1:7" x14ac:dyDescent="0.3">
      <c r="A25" t="s">
        <v>24</v>
      </c>
      <c r="D25">
        <f>SUM(Table1[[#This Row],[Buildings]:[Industry]])</f>
        <v>0</v>
      </c>
      <c r="E25">
        <v>0</v>
      </c>
      <c r="F25">
        <v>0</v>
      </c>
      <c r="G25" s="1"/>
    </row>
    <row r="26" spans="1:7" x14ac:dyDescent="0.3">
      <c r="A26" t="s">
        <v>25</v>
      </c>
      <c r="B26">
        <v>198.81</v>
      </c>
      <c r="C26">
        <v>34.6464</v>
      </c>
      <c r="D26">
        <f>SUM(Table1[[#This Row],[Buildings]:[Industry]])</f>
        <v>233.4564</v>
      </c>
      <c r="E26">
        <f>ROUND(Table1[[#This Row],[Buildings]]/Table1[[#This Row],[Total]],2)</f>
        <v>0.85</v>
      </c>
      <c r="F26">
        <f>ROUND(Table1[[#This Row],[Industry]]/Table1[[#This Row],[Total]],2)</f>
        <v>0.15</v>
      </c>
      <c r="G26" s="1"/>
    </row>
    <row r="27" spans="1:7" x14ac:dyDescent="0.3">
      <c r="A27" t="s">
        <v>26</v>
      </c>
      <c r="B27">
        <v>0.15479999999999999</v>
      </c>
      <c r="C27">
        <v>0</v>
      </c>
      <c r="D27">
        <f>SUM(Table1[[#This Row],[Buildings]:[Industry]])</f>
        <v>0.15479999999999999</v>
      </c>
      <c r="E27">
        <f>ROUND(Table1[[#This Row],[Buildings]]/Table1[[#This Row],[Total]],2)</f>
        <v>1</v>
      </c>
      <c r="F27">
        <f>ROUND(Table1[[#This Row],[Industry]]/Table1[[#This Row],[Total]],2)</f>
        <v>0</v>
      </c>
      <c r="G27" s="1"/>
    </row>
    <row r="28" spans="1:7" x14ac:dyDescent="0.3">
      <c r="A28" t="s">
        <v>27</v>
      </c>
      <c r="B28">
        <v>35.589599999999997</v>
      </c>
      <c r="C28">
        <v>0</v>
      </c>
      <c r="D28">
        <f>SUM(Table1[[#This Row],[Buildings]:[Industry]])</f>
        <v>35.589599999999997</v>
      </c>
      <c r="E28">
        <f>ROUND(Table1[[#This Row],[Buildings]]/Table1[[#This Row],[Total]],2)</f>
        <v>1</v>
      </c>
      <c r="F28">
        <f>ROUND(Table1[[#This Row],[Industry]]/Table1[[#This Row],[Total]],2)</f>
        <v>0</v>
      </c>
      <c r="G28" s="1"/>
    </row>
    <row r="29" spans="1:7" x14ac:dyDescent="0.3">
      <c r="A29" t="s">
        <v>28</v>
      </c>
      <c r="B29">
        <v>161.60759999999999</v>
      </c>
      <c r="C29">
        <v>21.815999999999999</v>
      </c>
      <c r="D29">
        <f>SUM(Table1[[#This Row],[Buildings]:[Industry]])</f>
        <v>183.42359999999999</v>
      </c>
      <c r="E29">
        <f>ROUND(Table1[[#This Row],[Buildings]]/Table1[[#This Row],[Total]],2)</f>
        <v>0.88</v>
      </c>
      <c r="F29">
        <f>ROUND(Table1[[#This Row],[Industry]]/Table1[[#This Row],[Total]],2)</f>
        <v>0.12</v>
      </c>
      <c r="G29" s="1"/>
    </row>
    <row r="30" spans="1:7" x14ac:dyDescent="0.3">
      <c r="A30" t="s">
        <v>29</v>
      </c>
      <c r="B30">
        <v>5.5476000000000001</v>
      </c>
      <c r="C30">
        <v>1.2816000000000001</v>
      </c>
      <c r="D30">
        <f>SUM(Table1[[#This Row],[Buildings]:[Industry]])</f>
        <v>6.8292000000000002</v>
      </c>
      <c r="E30">
        <f>ROUND(Table1[[#This Row],[Buildings]]/Table1[[#This Row],[Total]],2)</f>
        <v>0.81</v>
      </c>
      <c r="F30">
        <f>ROUND(Table1[[#This Row],[Industry]]/Table1[[#This Row],[Total]],2)</f>
        <v>0.19</v>
      </c>
      <c r="G30" s="1"/>
    </row>
    <row r="31" spans="1:7" x14ac:dyDescent="0.3">
      <c r="A31" t="s">
        <v>30</v>
      </c>
      <c r="B31">
        <v>31.4316</v>
      </c>
      <c r="C31">
        <v>19.943999999999999</v>
      </c>
      <c r="D31">
        <f>SUM(Table1[[#This Row],[Buildings]:[Industry]])</f>
        <v>51.375599999999999</v>
      </c>
      <c r="E31">
        <f>ROUND(Table1[[#This Row],[Buildings]]/Table1[[#This Row],[Total]],2)</f>
        <v>0.61</v>
      </c>
      <c r="F31">
        <f>ROUND(Table1[[#This Row],[Industry]]/Table1[[#This Row],[Total]],2)</f>
        <v>0.39</v>
      </c>
      <c r="G31" s="1"/>
    </row>
    <row r="32" spans="1:7" x14ac:dyDescent="0.3">
      <c r="A32" t="s">
        <v>31</v>
      </c>
      <c r="D32">
        <f>SUM(Table1[[#This Row],[Buildings]:[Industry]])</f>
        <v>0</v>
      </c>
      <c r="E32">
        <v>0</v>
      </c>
      <c r="F32">
        <v>0</v>
      </c>
      <c r="G32" s="1"/>
    </row>
    <row r="33" spans="1:7" x14ac:dyDescent="0.3">
      <c r="A33" t="s">
        <v>32</v>
      </c>
      <c r="B33">
        <v>43.2</v>
      </c>
      <c r="C33">
        <v>0</v>
      </c>
      <c r="D33">
        <f>SUM(Table1[[#This Row],[Buildings]:[Industry]])</f>
        <v>43.2</v>
      </c>
      <c r="E33">
        <f>ROUND(Table1[[#This Row],[Buildings]]/Table1[[#This Row],[Total]],2)</f>
        <v>1</v>
      </c>
      <c r="F33">
        <f>ROUND(Table1[[#This Row],[Industry]]/Table1[[#This Row],[Total]],2)</f>
        <v>0</v>
      </c>
      <c r="G3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0919-2F9F-4D40-96AF-7B673E0FDA8C}">
  <dimension ref="A3:AC99"/>
  <sheetViews>
    <sheetView topLeftCell="A70" workbookViewId="0">
      <selection activeCell="B40" sqref="B40"/>
    </sheetView>
  </sheetViews>
  <sheetFormatPr defaultRowHeight="14.4" x14ac:dyDescent="0.3"/>
  <sheetData>
    <row r="3" spans="1:29" x14ac:dyDescent="0.3">
      <c r="A3" t="s">
        <v>0</v>
      </c>
      <c r="B3" t="s">
        <v>53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Q3" t="s">
        <v>0</v>
      </c>
      <c r="R3" t="s">
        <v>53</v>
      </c>
      <c r="S3" t="s">
        <v>36</v>
      </c>
      <c r="T3" t="s">
        <v>37</v>
      </c>
      <c r="U3" t="s">
        <v>38</v>
      </c>
      <c r="V3" t="s">
        <v>39</v>
      </c>
      <c r="W3" t="s">
        <v>40</v>
      </c>
      <c r="X3" t="s">
        <v>41</v>
      </c>
      <c r="Y3" t="s">
        <v>42</v>
      </c>
      <c r="Z3" t="s">
        <v>43</v>
      </c>
      <c r="AA3" t="s">
        <v>44</v>
      </c>
      <c r="AB3" t="s">
        <v>45</v>
      </c>
      <c r="AC3" t="s">
        <v>46</v>
      </c>
    </row>
    <row r="4" spans="1:29" x14ac:dyDescent="0.3">
      <c r="A4" t="s">
        <v>3</v>
      </c>
      <c r="B4" t="s">
        <v>1</v>
      </c>
      <c r="C4">
        <f>SUMIF(Table1[Region],Sheet2!A4,Table1[Split Buildings])</f>
        <v>0.84</v>
      </c>
      <c r="D4">
        <f>$C4</f>
        <v>0.84</v>
      </c>
      <c r="E4">
        <f>$C4</f>
        <v>0.84</v>
      </c>
      <c r="F4">
        <f>$C4</f>
        <v>0.84</v>
      </c>
      <c r="G4">
        <f>F4+($K4-$F4)/5</f>
        <v>0.79799999999999993</v>
      </c>
      <c r="H4">
        <f t="shared" ref="H4:J4" si="0">G4+($K4-$F4)/5</f>
        <v>0.75599999999999989</v>
      </c>
      <c r="I4">
        <f t="shared" si="0"/>
        <v>0.71399999999999986</v>
      </c>
      <c r="J4">
        <f t="shared" si="0"/>
        <v>0.67199999999999982</v>
      </c>
      <c r="K4">
        <f>F4*0.75</f>
        <v>0.63</v>
      </c>
      <c r="L4">
        <f>$K4</f>
        <v>0.63</v>
      </c>
      <c r="M4">
        <f>$K4</f>
        <v>0.63</v>
      </c>
      <c r="Q4" t="s">
        <v>3</v>
      </c>
      <c r="R4" t="s">
        <v>2</v>
      </c>
      <c r="S4">
        <f>SUMIF(Table1[Region],Sheet2!Q4,Table1[Split Industry])</f>
        <v>0.16</v>
      </c>
      <c r="T4">
        <f>$S4</f>
        <v>0.16</v>
      </c>
      <c r="U4">
        <f>$S4</f>
        <v>0.16</v>
      </c>
      <c r="V4">
        <f>$S4</f>
        <v>0.16</v>
      </c>
      <c r="W4">
        <f>V4+($AA4-$V4)/5</f>
        <v>0.152</v>
      </c>
      <c r="X4">
        <f t="shared" ref="X4:Z4" si="1">W4+($AA4-$V4)/5</f>
        <v>0.14399999999999999</v>
      </c>
      <c r="Y4">
        <f t="shared" si="1"/>
        <v>0.13599999999999998</v>
      </c>
      <c r="Z4">
        <f t="shared" si="1"/>
        <v>0.12799999999999997</v>
      </c>
      <c r="AA4">
        <f>V4*0.75</f>
        <v>0.12</v>
      </c>
      <c r="AB4">
        <f>$AA4</f>
        <v>0.12</v>
      </c>
      <c r="AC4">
        <f>$AA4</f>
        <v>0.12</v>
      </c>
    </row>
    <row r="5" spans="1:29" x14ac:dyDescent="0.3">
      <c r="A5" t="s">
        <v>4</v>
      </c>
      <c r="B5" t="s">
        <v>1</v>
      </c>
      <c r="C5">
        <f>SUMIF(Table1[Region],Sheet2!A5,Table1[Split Buildings])</f>
        <v>0.73</v>
      </c>
      <c r="D5">
        <f t="shared" ref="D5:F33" si="2">$C5</f>
        <v>0.73</v>
      </c>
      <c r="E5">
        <f t="shared" si="2"/>
        <v>0.73</v>
      </c>
      <c r="F5">
        <f t="shared" si="2"/>
        <v>0.73</v>
      </c>
      <c r="G5">
        <f t="shared" ref="G5:J5" si="3">F5+($K5-$F5)/5</f>
        <v>0.69350000000000001</v>
      </c>
      <c r="H5">
        <f t="shared" si="3"/>
        <v>0.65700000000000003</v>
      </c>
      <c r="I5">
        <f t="shared" si="3"/>
        <v>0.62050000000000005</v>
      </c>
      <c r="J5">
        <f t="shared" si="3"/>
        <v>0.58400000000000007</v>
      </c>
      <c r="K5">
        <f t="shared" ref="K5:K33" si="4">F5*0.75</f>
        <v>0.54749999999999999</v>
      </c>
      <c r="L5">
        <f t="shared" ref="L5:M33" si="5">$K5</f>
        <v>0.54749999999999999</v>
      </c>
      <c r="M5">
        <f t="shared" si="5"/>
        <v>0.54749999999999999</v>
      </c>
      <c r="Q5" t="s">
        <v>4</v>
      </c>
      <c r="R5" t="s">
        <v>2</v>
      </c>
      <c r="S5">
        <f>SUMIF(Table1[Region],Sheet2!Q5,Table1[Split Industry])</f>
        <v>0.27</v>
      </c>
      <c r="T5">
        <f t="shared" ref="T5:V33" si="6">$S5</f>
        <v>0.27</v>
      </c>
      <c r="U5">
        <f t="shared" si="6"/>
        <v>0.27</v>
      </c>
      <c r="V5">
        <f t="shared" si="6"/>
        <v>0.27</v>
      </c>
      <c r="W5">
        <f t="shared" ref="W5:Z5" si="7">V5+($AA5-$V5)/5</f>
        <v>0.25650000000000001</v>
      </c>
      <c r="X5">
        <f t="shared" si="7"/>
        <v>0.24299999999999999</v>
      </c>
      <c r="Y5">
        <f t="shared" si="7"/>
        <v>0.22949999999999998</v>
      </c>
      <c r="Z5">
        <f t="shared" si="7"/>
        <v>0.21599999999999997</v>
      </c>
      <c r="AA5">
        <f t="shared" ref="AA5:AA33" si="8">V5*0.75</f>
        <v>0.20250000000000001</v>
      </c>
      <c r="AB5">
        <f t="shared" ref="AB5:AC33" si="9">$AA5</f>
        <v>0.20250000000000001</v>
      </c>
      <c r="AC5">
        <f t="shared" si="9"/>
        <v>0.20250000000000001</v>
      </c>
    </row>
    <row r="6" spans="1:29" x14ac:dyDescent="0.3">
      <c r="A6" t="s">
        <v>5</v>
      </c>
      <c r="B6" t="s">
        <v>1</v>
      </c>
      <c r="C6">
        <f>SUMIF(Table1[Region],Sheet2!A6,Table1[Split Buildings])</f>
        <v>0.89</v>
      </c>
      <c r="D6">
        <f t="shared" si="2"/>
        <v>0.89</v>
      </c>
      <c r="E6">
        <f t="shared" si="2"/>
        <v>0.89</v>
      </c>
      <c r="F6">
        <f t="shared" si="2"/>
        <v>0.89</v>
      </c>
      <c r="G6">
        <f t="shared" ref="G6:J6" si="10">F6+($K6-$F6)/5</f>
        <v>0.84550000000000003</v>
      </c>
      <c r="H6">
        <f t="shared" si="10"/>
        <v>0.80100000000000005</v>
      </c>
      <c r="I6">
        <f t="shared" si="10"/>
        <v>0.75650000000000006</v>
      </c>
      <c r="J6">
        <f t="shared" si="10"/>
        <v>0.71200000000000008</v>
      </c>
      <c r="K6">
        <f t="shared" si="4"/>
        <v>0.66749999999999998</v>
      </c>
      <c r="L6">
        <f t="shared" si="5"/>
        <v>0.66749999999999998</v>
      </c>
      <c r="M6">
        <f t="shared" si="5"/>
        <v>0.66749999999999998</v>
      </c>
      <c r="Q6" t="s">
        <v>5</v>
      </c>
      <c r="R6" t="s">
        <v>2</v>
      </c>
      <c r="S6">
        <f>SUMIF(Table1[Region],Sheet2!Q6,Table1[Split Industry])</f>
        <v>0.11</v>
      </c>
      <c r="T6">
        <f t="shared" si="6"/>
        <v>0.11</v>
      </c>
      <c r="U6">
        <f t="shared" si="6"/>
        <v>0.11</v>
      </c>
      <c r="V6">
        <f t="shared" si="6"/>
        <v>0.11</v>
      </c>
      <c r="W6">
        <f t="shared" ref="W6:Z6" si="11">V6+($AA6-$V6)/5</f>
        <v>0.1045</v>
      </c>
      <c r="X6">
        <f t="shared" si="11"/>
        <v>9.8999999999999991E-2</v>
      </c>
      <c r="Y6">
        <f t="shared" si="11"/>
        <v>9.3499999999999986E-2</v>
      </c>
      <c r="Z6">
        <f t="shared" si="11"/>
        <v>8.7999999999999981E-2</v>
      </c>
      <c r="AA6">
        <f t="shared" si="8"/>
        <v>8.2500000000000004E-2</v>
      </c>
      <c r="AB6">
        <f t="shared" si="9"/>
        <v>8.2500000000000004E-2</v>
      </c>
      <c r="AC6">
        <f t="shared" si="9"/>
        <v>8.2500000000000004E-2</v>
      </c>
    </row>
    <row r="7" spans="1:29" x14ac:dyDescent="0.3">
      <c r="A7" t="s">
        <v>6</v>
      </c>
      <c r="B7" t="s">
        <v>1</v>
      </c>
      <c r="C7">
        <f>SUMIF(Table1[Region],Sheet2!A7,Table1[Split Buildings])</f>
        <v>0</v>
      </c>
      <c r="D7">
        <f t="shared" si="2"/>
        <v>0</v>
      </c>
      <c r="E7">
        <f t="shared" si="2"/>
        <v>0</v>
      </c>
      <c r="F7">
        <f t="shared" si="2"/>
        <v>0</v>
      </c>
      <c r="G7">
        <f t="shared" ref="G7:J7" si="12">F7+($K7-$F7)/5</f>
        <v>0</v>
      </c>
      <c r="H7">
        <f t="shared" si="12"/>
        <v>0</v>
      </c>
      <c r="I7">
        <f t="shared" si="12"/>
        <v>0</v>
      </c>
      <c r="J7">
        <f t="shared" si="12"/>
        <v>0</v>
      </c>
      <c r="K7">
        <f t="shared" si="4"/>
        <v>0</v>
      </c>
      <c r="L7">
        <f t="shared" si="5"/>
        <v>0</v>
      </c>
      <c r="M7">
        <f t="shared" si="5"/>
        <v>0</v>
      </c>
      <c r="Q7" t="s">
        <v>6</v>
      </c>
      <c r="R7" t="s">
        <v>2</v>
      </c>
      <c r="S7">
        <f>SUMIF(Table1[Region],Sheet2!Q7,Table1[Split Industry])</f>
        <v>0</v>
      </c>
      <c r="T7">
        <f t="shared" si="6"/>
        <v>0</v>
      </c>
      <c r="U7">
        <f t="shared" si="6"/>
        <v>0</v>
      </c>
      <c r="V7">
        <f t="shared" si="6"/>
        <v>0</v>
      </c>
      <c r="W7">
        <f t="shared" ref="W7:Z7" si="13">V7+($AA7-$V7)/5</f>
        <v>0</v>
      </c>
      <c r="X7">
        <f t="shared" si="13"/>
        <v>0</v>
      </c>
      <c r="Y7">
        <f t="shared" si="13"/>
        <v>0</v>
      </c>
      <c r="Z7">
        <f t="shared" si="13"/>
        <v>0</v>
      </c>
      <c r="AA7">
        <f t="shared" si="8"/>
        <v>0</v>
      </c>
      <c r="AB7">
        <f t="shared" si="9"/>
        <v>0</v>
      </c>
      <c r="AC7">
        <f t="shared" si="9"/>
        <v>0</v>
      </c>
    </row>
    <row r="8" spans="1:29" x14ac:dyDescent="0.3">
      <c r="A8" t="s">
        <v>7</v>
      </c>
      <c r="B8" t="s">
        <v>1</v>
      </c>
      <c r="C8">
        <f>SUMIF(Table1[Region],Sheet2!A8,Table1[Split Buildings])</f>
        <v>0.66</v>
      </c>
      <c r="D8">
        <f t="shared" si="2"/>
        <v>0.66</v>
      </c>
      <c r="E8">
        <f t="shared" si="2"/>
        <v>0.66</v>
      </c>
      <c r="F8">
        <f t="shared" si="2"/>
        <v>0.66</v>
      </c>
      <c r="G8">
        <f t="shared" ref="G8:J8" si="14">F8+($K8-$F8)/5</f>
        <v>0.627</v>
      </c>
      <c r="H8">
        <f t="shared" si="14"/>
        <v>0.59399999999999997</v>
      </c>
      <c r="I8">
        <f t="shared" si="14"/>
        <v>0.56099999999999994</v>
      </c>
      <c r="J8">
        <f t="shared" si="14"/>
        <v>0.52799999999999991</v>
      </c>
      <c r="K8">
        <f t="shared" si="4"/>
        <v>0.495</v>
      </c>
      <c r="L8">
        <f t="shared" si="5"/>
        <v>0.495</v>
      </c>
      <c r="M8">
        <f t="shared" si="5"/>
        <v>0.495</v>
      </c>
      <c r="Q8" t="s">
        <v>7</v>
      </c>
      <c r="R8" t="s">
        <v>2</v>
      </c>
      <c r="S8">
        <f>SUMIF(Table1[Region],Sheet2!Q8,Table1[Split Industry])</f>
        <v>0.34</v>
      </c>
      <c r="T8">
        <f t="shared" si="6"/>
        <v>0.34</v>
      </c>
      <c r="U8">
        <f t="shared" si="6"/>
        <v>0.34</v>
      </c>
      <c r="V8">
        <f t="shared" si="6"/>
        <v>0.34</v>
      </c>
      <c r="W8">
        <f t="shared" ref="W8:Z8" si="15">V8+($AA8-$V8)/5</f>
        <v>0.32300000000000001</v>
      </c>
      <c r="X8">
        <f t="shared" si="15"/>
        <v>0.30599999999999999</v>
      </c>
      <c r="Y8">
        <f t="shared" si="15"/>
        <v>0.28899999999999998</v>
      </c>
      <c r="Z8">
        <f t="shared" si="15"/>
        <v>0.27199999999999996</v>
      </c>
      <c r="AA8">
        <f t="shared" si="8"/>
        <v>0.255</v>
      </c>
      <c r="AB8">
        <f t="shared" si="9"/>
        <v>0.255</v>
      </c>
      <c r="AC8">
        <f t="shared" si="9"/>
        <v>0.255</v>
      </c>
    </row>
    <row r="9" spans="1:29" x14ac:dyDescent="0.3">
      <c r="A9" t="s">
        <v>8</v>
      </c>
      <c r="B9" t="s">
        <v>1</v>
      </c>
      <c r="C9">
        <f>SUMIF(Table1[Region],Sheet2!A9,Table1[Split Buildings])</f>
        <v>0.78</v>
      </c>
      <c r="D9">
        <f t="shared" si="2"/>
        <v>0.78</v>
      </c>
      <c r="E9">
        <f t="shared" si="2"/>
        <v>0.78</v>
      </c>
      <c r="F9">
        <f t="shared" si="2"/>
        <v>0.78</v>
      </c>
      <c r="G9">
        <f t="shared" ref="G9:J9" si="16">F9+($K9-$F9)/5</f>
        <v>0.74099999999999999</v>
      </c>
      <c r="H9">
        <f t="shared" si="16"/>
        <v>0.70199999999999996</v>
      </c>
      <c r="I9">
        <f t="shared" si="16"/>
        <v>0.66299999999999992</v>
      </c>
      <c r="J9">
        <f t="shared" si="16"/>
        <v>0.62399999999999989</v>
      </c>
      <c r="K9">
        <f t="shared" si="4"/>
        <v>0.58499999999999996</v>
      </c>
      <c r="L9">
        <f t="shared" si="5"/>
        <v>0.58499999999999996</v>
      </c>
      <c r="M9">
        <f t="shared" si="5"/>
        <v>0.58499999999999996</v>
      </c>
      <c r="Q9" t="s">
        <v>8</v>
      </c>
      <c r="R9" t="s">
        <v>2</v>
      </c>
      <c r="S9">
        <f>SUMIF(Table1[Region],Sheet2!Q9,Table1[Split Industry])</f>
        <v>0.22</v>
      </c>
      <c r="T9">
        <f t="shared" si="6"/>
        <v>0.22</v>
      </c>
      <c r="U9">
        <f t="shared" si="6"/>
        <v>0.22</v>
      </c>
      <c r="V9">
        <f t="shared" si="6"/>
        <v>0.22</v>
      </c>
      <c r="W9">
        <f t="shared" ref="W9:Z9" si="17">V9+($AA9-$V9)/5</f>
        <v>0.20899999999999999</v>
      </c>
      <c r="X9">
        <f t="shared" si="17"/>
        <v>0.19799999999999998</v>
      </c>
      <c r="Y9">
        <f t="shared" si="17"/>
        <v>0.18699999999999997</v>
      </c>
      <c r="Z9">
        <f t="shared" si="17"/>
        <v>0.17599999999999996</v>
      </c>
      <c r="AA9">
        <f t="shared" si="8"/>
        <v>0.16500000000000001</v>
      </c>
      <c r="AB9">
        <f t="shared" si="9"/>
        <v>0.16500000000000001</v>
      </c>
      <c r="AC9">
        <f t="shared" si="9"/>
        <v>0.16500000000000001</v>
      </c>
    </row>
    <row r="10" spans="1:29" x14ac:dyDescent="0.3">
      <c r="A10" t="s">
        <v>9</v>
      </c>
      <c r="B10" t="s">
        <v>1</v>
      </c>
      <c r="C10">
        <f>SUMIF(Table1[Region],Sheet2!A10,Table1[Split Buildings])</f>
        <v>0.95</v>
      </c>
      <c r="D10">
        <f t="shared" si="2"/>
        <v>0.95</v>
      </c>
      <c r="E10">
        <f t="shared" si="2"/>
        <v>0.95</v>
      </c>
      <c r="F10">
        <f t="shared" si="2"/>
        <v>0.95</v>
      </c>
      <c r="G10">
        <f t="shared" ref="G10:J10" si="18">F10+($K10-$F10)/5</f>
        <v>0.90249999999999997</v>
      </c>
      <c r="H10">
        <f t="shared" si="18"/>
        <v>0.85499999999999998</v>
      </c>
      <c r="I10">
        <f t="shared" si="18"/>
        <v>0.8075</v>
      </c>
      <c r="J10">
        <f t="shared" si="18"/>
        <v>0.76</v>
      </c>
      <c r="K10">
        <f t="shared" si="4"/>
        <v>0.71249999999999991</v>
      </c>
      <c r="L10">
        <f t="shared" si="5"/>
        <v>0.71249999999999991</v>
      </c>
      <c r="M10">
        <f t="shared" si="5"/>
        <v>0.71249999999999991</v>
      </c>
      <c r="Q10" t="s">
        <v>9</v>
      </c>
      <c r="R10" t="s">
        <v>2</v>
      </c>
      <c r="S10">
        <f>SUMIF(Table1[Region],Sheet2!Q10,Table1[Split Industry])</f>
        <v>0.05</v>
      </c>
      <c r="T10">
        <f t="shared" si="6"/>
        <v>0.05</v>
      </c>
      <c r="U10">
        <f t="shared" si="6"/>
        <v>0.05</v>
      </c>
      <c r="V10">
        <f t="shared" si="6"/>
        <v>0.05</v>
      </c>
      <c r="W10">
        <f t="shared" ref="W10:Z10" si="19">V10+($AA10-$V10)/5</f>
        <v>4.7500000000000001E-2</v>
      </c>
      <c r="X10">
        <f t="shared" si="19"/>
        <v>4.4999999999999998E-2</v>
      </c>
      <c r="Y10">
        <f t="shared" si="19"/>
        <v>4.2499999999999996E-2</v>
      </c>
      <c r="Z10">
        <f t="shared" si="19"/>
        <v>3.9999999999999994E-2</v>
      </c>
      <c r="AA10">
        <f t="shared" si="8"/>
        <v>3.7500000000000006E-2</v>
      </c>
      <c r="AB10">
        <f t="shared" si="9"/>
        <v>3.7500000000000006E-2</v>
      </c>
      <c r="AC10">
        <f t="shared" si="9"/>
        <v>3.7500000000000006E-2</v>
      </c>
    </row>
    <row r="11" spans="1:29" x14ac:dyDescent="0.3">
      <c r="A11" t="s">
        <v>10</v>
      </c>
      <c r="B11" t="s">
        <v>1</v>
      </c>
      <c r="C11">
        <f>SUMIF(Table1[Region],Sheet2!A11,Table1[Split Buildings])</f>
        <v>0.92</v>
      </c>
      <c r="D11">
        <f t="shared" si="2"/>
        <v>0.92</v>
      </c>
      <c r="E11">
        <f t="shared" si="2"/>
        <v>0.92</v>
      </c>
      <c r="F11">
        <f t="shared" si="2"/>
        <v>0.92</v>
      </c>
      <c r="G11">
        <f t="shared" ref="G11:J11" si="20">F11+($K11-$F11)/5</f>
        <v>0.874</v>
      </c>
      <c r="H11">
        <f t="shared" si="20"/>
        <v>0.82799999999999996</v>
      </c>
      <c r="I11">
        <f t="shared" si="20"/>
        <v>0.78199999999999992</v>
      </c>
      <c r="J11">
        <f t="shared" si="20"/>
        <v>0.73599999999999988</v>
      </c>
      <c r="K11">
        <f t="shared" si="4"/>
        <v>0.69000000000000006</v>
      </c>
      <c r="L11">
        <f t="shared" si="5"/>
        <v>0.69000000000000006</v>
      </c>
      <c r="M11">
        <f t="shared" si="5"/>
        <v>0.69000000000000006</v>
      </c>
      <c r="Q11" t="s">
        <v>10</v>
      </c>
      <c r="R11" t="s">
        <v>2</v>
      </c>
      <c r="S11">
        <f>SUMIF(Table1[Region],Sheet2!Q11,Table1[Split Industry])</f>
        <v>0.08</v>
      </c>
      <c r="T11">
        <f t="shared" si="6"/>
        <v>0.08</v>
      </c>
      <c r="U11">
        <f t="shared" si="6"/>
        <v>0.08</v>
      </c>
      <c r="V11">
        <f t="shared" si="6"/>
        <v>0.08</v>
      </c>
      <c r="W11">
        <f t="shared" ref="W11:Z11" si="21">V11+($AA11-$V11)/5</f>
        <v>7.5999999999999998E-2</v>
      </c>
      <c r="X11">
        <f t="shared" si="21"/>
        <v>7.1999999999999995E-2</v>
      </c>
      <c r="Y11">
        <f t="shared" si="21"/>
        <v>6.7999999999999991E-2</v>
      </c>
      <c r="Z11">
        <f t="shared" si="21"/>
        <v>6.3999999999999987E-2</v>
      </c>
      <c r="AA11">
        <f t="shared" si="8"/>
        <v>0.06</v>
      </c>
      <c r="AB11">
        <f t="shared" si="9"/>
        <v>0.06</v>
      </c>
      <c r="AC11">
        <f t="shared" si="9"/>
        <v>0.06</v>
      </c>
    </row>
    <row r="12" spans="1:29" x14ac:dyDescent="0.3">
      <c r="A12" t="s">
        <v>11</v>
      </c>
      <c r="B12" t="s">
        <v>1</v>
      </c>
      <c r="C12">
        <f>SUMIF(Table1[Region],Sheet2!A12,Table1[Split Buildings])</f>
        <v>0.78</v>
      </c>
      <c r="D12">
        <f t="shared" si="2"/>
        <v>0.78</v>
      </c>
      <c r="E12">
        <f t="shared" si="2"/>
        <v>0.78</v>
      </c>
      <c r="F12">
        <f t="shared" si="2"/>
        <v>0.78</v>
      </c>
      <c r="G12">
        <f t="shared" ref="G12:J12" si="22">F12+($K12-$F12)/5</f>
        <v>0.74099999999999999</v>
      </c>
      <c r="H12">
        <f t="shared" si="22"/>
        <v>0.70199999999999996</v>
      </c>
      <c r="I12">
        <f t="shared" si="22"/>
        <v>0.66299999999999992</v>
      </c>
      <c r="J12">
        <f t="shared" si="22"/>
        <v>0.62399999999999989</v>
      </c>
      <c r="K12">
        <f t="shared" si="4"/>
        <v>0.58499999999999996</v>
      </c>
      <c r="L12">
        <f t="shared" si="5"/>
        <v>0.58499999999999996</v>
      </c>
      <c r="M12">
        <f t="shared" si="5"/>
        <v>0.58499999999999996</v>
      </c>
      <c r="Q12" t="s">
        <v>11</v>
      </c>
      <c r="R12" t="s">
        <v>2</v>
      </c>
      <c r="S12">
        <f>SUMIF(Table1[Region],Sheet2!Q12,Table1[Split Industry])</f>
        <v>0.22</v>
      </c>
      <c r="T12">
        <f t="shared" si="6"/>
        <v>0.22</v>
      </c>
      <c r="U12">
        <f t="shared" si="6"/>
        <v>0.22</v>
      </c>
      <c r="V12">
        <f t="shared" si="6"/>
        <v>0.22</v>
      </c>
      <c r="W12">
        <f t="shared" ref="W12:Z12" si="23">V12+($AA12-$V12)/5</f>
        <v>0.20899999999999999</v>
      </c>
      <c r="X12">
        <f t="shared" si="23"/>
        <v>0.19799999999999998</v>
      </c>
      <c r="Y12">
        <f t="shared" si="23"/>
        <v>0.18699999999999997</v>
      </c>
      <c r="Z12">
        <f t="shared" si="23"/>
        <v>0.17599999999999996</v>
      </c>
      <c r="AA12">
        <f t="shared" si="8"/>
        <v>0.16500000000000001</v>
      </c>
      <c r="AB12">
        <f t="shared" si="9"/>
        <v>0.16500000000000001</v>
      </c>
      <c r="AC12">
        <f t="shared" si="9"/>
        <v>0.16500000000000001</v>
      </c>
    </row>
    <row r="13" spans="1:29" x14ac:dyDescent="0.3">
      <c r="A13" t="s">
        <v>12</v>
      </c>
      <c r="B13" t="s">
        <v>1</v>
      </c>
      <c r="C13">
        <f>SUMIF(Table1[Region],Sheet2!A13,Table1[Split Buildings])</f>
        <v>0.91</v>
      </c>
      <c r="D13">
        <f t="shared" si="2"/>
        <v>0.91</v>
      </c>
      <c r="E13">
        <f t="shared" si="2"/>
        <v>0.91</v>
      </c>
      <c r="F13">
        <f t="shared" si="2"/>
        <v>0.91</v>
      </c>
      <c r="G13">
        <f t="shared" ref="G13:J13" si="24">F13+($K13-$F13)/5</f>
        <v>0.86450000000000005</v>
      </c>
      <c r="H13">
        <f t="shared" si="24"/>
        <v>0.81900000000000006</v>
      </c>
      <c r="I13">
        <f t="shared" si="24"/>
        <v>0.77350000000000008</v>
      </c>
      <c r="J13">
        <f t="shared" si="24"/>
        <v>0.72800000000000009</v>
      </c>
      <c r="K13">
        <f t="shared" si="4"/>
        <v>0.6825</v>
      </c>
      <c r="L13">
        <f t="shared" si="5"/>
        <v>0.6825</v>
      </c>
      <c r="M13">
        <f t="shared" si="5"/>
        <v>0.6825</v>
      </c>
      <c r="Q13" t="s">
        <v>12</v>
      </c>
      <c r="R13" t="s">
        <v>2</v>
      </c>
      <c r="S13">
        <f>SUMIF(Table1[Region],Sheet2!Q13,Table1[Split Industry])</f>
        <v>0.09</v>
      </c>
      <c r="T13">
        <f t="shared" si="6"/>
        <v>0.09</v>
      </c>
      <c r="U13">
        <f t="shared" si="6"/>
        <v>0.09</v>
      </c>
      <c r="V13">
        <f t="shared" si="6"/>
        <v>0.09</v>
      </c>
      <c r="W13">
        <f t="shared" ref="W13:Z13" si="25">V13+($AA13-$V13)/5</f>
        <v>8.5499999999999993E-2</v>
      </c>
      <c r="X13">
        <f t="shared" si="25"/>
        <v>8.0999999999999989E-2</v>
      </c>
      <c r="Y13">
        <f t="shared" si="25"/>
        <v>7.6499999999999985E-2</v>
      </c>
      <c r="Z13">
        <f t="shared" si="25"/>
        <v>7.1999999999999981E-2</v>
      </c>
      <c r="AA13">
        <f t="shared" si="8"/>
        <v>6.7500000000000004E-2</v>
      </c>
      <c r="AB13">
        <f t="shared" si="9"/>
        <v>6.7500000000000004E-2</v>
      </c>
      <c r="AC13">
        <f t="shared" si="9"/>
        <v>6.7500000000000004E-2</v>
      </c>
    </row>
    <row r="14" spans="1:29" x14ac:dyDescent="0.3">
      <c r="A14" t="s">
        <v>13</v>
      </c>
      <c r="B14" t="s">
        <v>1</v>
      </c>
      <c r="C14">
        <f>SUMIF(Table1[Region],Sheet2!A14,Table1[Split Buildings])</f>
        <v>0.87</v>
      </c>
      <c r="D14">
        <f t="shared" si="2"/>
        <v>0.87</v>
      </c>
      <c r="E14">
        <f t="shared" si="2"/>
        <v>0.87</v>
      </c>
      <c r="F14">
        <f t="shared" si="2"/>
        <v>0.87</v>
      </c>
      <c r="G14">
        <f t="shared" ref="G14:J14" si="26">F14+($K14-$F14)/5</f>
        <v>0.82650000000000001</v>
      </c>
      <c r="H14">
        <f t="shared" si="26"/>
        <v>0.78300000000000003</v>
      </c>
      <c r="I14">
        <f t="shared" si="26"/>
        <v>0.73950000000000005</v>
      </c>
      <c r="J14">
        <f t="shared" si="26"/>
        <v>0.69600000000000006</v>
      </c>
      <c r="K14">
        <f t="shared" si="4"/>
        <v>0.65249999999999997</v>
      </c>
      <c r="L14">
        <f t="shared" si="5"/>
        <v>0.65249999999999997</v>
      </c>
      <c r="M14">
        <f t="shared" si="5"/>
        <v>0.65249999999999997</v>
      </c>
      <c r="Q14" t="s">
        <v>13</v>
      </c>
      <c r="R14" t="s">
        <v>2</v>
      </c>
      <c r="S14">
        <f>SUMIF(Table1[Region],Sheet2!Q14,Table1[Split Industry])</f>
        <v>0.13</v>
      </c>
      <c r="T14">
        <f t="shared" si="6"/>
        <v>0.13</v>
      </c>
      <c r="U14">
        <f t="shared" si="6"/>
        <v>0.13</v>
      </c>
      <c r="V14">
        <f t="shared" si="6"/>
        <v>0.13</v>
      </c>
      <c r="W14">
        <f t="shared" ref="W14:Z14" si="27">V14+($AA14-$V14)/5</f>
        <v>0.1235</v>
      </c>
      <c r="X14">
        <f t="shared" si="27"/>
        <v>0.11699999999999999</v>
      </c>
      <c r="Y14">
        <f t="shared" si="27"/>
        <v>0.11049999999999999</v>
      </c>
      <c r="Z14">
        <f t="shared" si="27"/>
        <v>0.10399999999999998</v>
      </c>
      <c r="AA14">
        <f t="shared" si="8"/>
        <v>9.7500000000000003E-2</v>
      </c>
      <c r="AB14">
        <f t="shared" si="9"/>
        <v>9.7500000000000003E-2</v>
      </c>
      <c r="AC14">
        <f t="shared" si="9"/>
        <v>9.7500000000000003E-2</v>
      </c>
    </row>
    <row r="15" spans="1:29" x14ac:dyDescent="0.3">
      <c r="A15" t="s">
        <v>14</v>
      </c>
      <c r="B15" t="s">
        <v>1</v>
      </c>
      <c r="C15">
        <f>SUMIF(Table1[Region],Sheet2!A15,Table1[Split Buildings])</f>
        <v>1</v>
      </c>
      <c r="D15">
        <f t="shared" si="2"/>
        <v>1</v>
      </c>
      <c r="E15">
        <f t="shared" si="2"/>
        <v>1</v>
      </c>
      <c r="F15">
        <f t="shared" si="2"/>
        <v>1</v>
      </c>
      <c r="G15">
        <f t="shared" ref="G15:J15" si="28">F15+($K15-$F15)/5</f>
        <v>0.95</v>
      </c>
      <c r="H15">
        <f t="shared" si="28"/>
        <v>0.89999999999999991</v>
      </c>
      <c r="I15">
        <f t="shared" si="28"/>
        <v>0.84999999999999987</v>
      </c>
      <c r="J15">
        <f t="shared" si="28"/>
        <v>0.79999999999999982</v>
      </c>
      <c r="K15">
        <f t="shared" si="4"/>
        <v>0.75</v>
      </c>
      <c r="L15">
        <f t="shared" si="5"/>
        <v>0.75</v>
      </c>
      <c r="M15">
        <f t="shared" si="5"/>
        <v>0.75</v>
      </c>
      <c r="Q15" t="s">
        <v>14</v>
      </c>
      <c r="R15" t="s">
        <v>2</v>
      </c>
      <c r="S15">
        <f>SUMIF(Table1[Region],Sheet2!Q15,Table1[Split Industry])</f>
        <v>0</v>
      </c>
      <c r="T15">
        <f t="shared" si="6"/>
        <v>0</v>
      </c>
      <c r="U15">
        <f t="shared" si="6"/>
        <v>0</v>
      </c>
      <c r="V15">
        <f t="shared" si="6"/>
        <v>0</v>
      </c>
      <c r="W15">
        <f t="shared" ref="W15:Z15" si="29">V15+($AA15-$V15)/5</f>
        <v>0</v>
      </c>
      <c r="X15">
        <f t="shared" si="29"/>
        <v>0</v>
      </c>
      <c r="Y15">
        <f t="shared" si="29"/>
        <v>0</v>
      </c>
      <c r="Z15">
        <f t="shared" si="29"/>
        <v>0</v>
      </c>
      <c r="AA15">
        <f t="shared" si="8"/>
        <v>0</v>
      </c>
      <c r="AB15">
        <f t="shared" si="9"/>
        <v>0</v>
      </c>
      <c r="AC15">
        <f t="shared" si="9"/>
        <v>0</v>
      </c>
    </row>
    <row r="16" spans="1:29" x14ac:dyDescent="0.3">
      <c r="A16" t="s">
        <v>15</v>
      </c>
      <c r="B16" t="s">
        <v>1</v>
      </c>
      <c r="C16">
        <f>SUMIF(Table1[Region],Sheet2!A16,Table1[Split Buildings])</f>
        <v>0.84</v>
      </c>
      <c r="D16">
        <f t="shared" si="2"/>
        <v>0.84</v>
      </c>
      <c r="E16">
        <f t="shared" si="2"/>
        <v>0.84</v>
      </c>
      <c r="F16">
        <f t="shared" si="2"/>
        <v>0.84</v>
      </c>
      <c r="G16">
        <f t="shared" ref="G16:J16" si="30">F16+($K16-$F16)/5</f>
        <v>0.79799999999999993</v>
      </c>
      <c r="H16">
        <f t="shared" si="30"/>
        <v>0.75599999999999989</v>
      </c>
      <c r="I16">
        <f t="shared" si="30"/>
        <v>0.71399999999999986</v>
      </c>
      <c r="J16">
        <f t="shared" si="30"/>
        <v>0.67199999999999982</v>
      </c>
      <c r="K16">
        <f t="shared" si="4"/>
        <v>0.63</v>
      </c>
      <c r="L16">
        <f t="shared" si="5"/>
        <v>0.63</v>
      </c>
      <c r="M16">
        <f t="shared" si="5"/>
        <v>0.63</v>
      </c>
      <c r="Q16" t="s">
        <v>15</v>
      </c>
      <c r="R16" t="s">
        <v>2</v>
      </c>
      <c r="S16">
        <f>SUMIF(Table1[Region],Sheet2!Q16,Table1[Split Industry])</f>
        <v>0.16</v>
      </c>
      <c r="T16">
        <f t="shared" si="6"/>
        <v>0.16</v>
      </c>
      <c r="U16">
        <f t="shared" si="6"/>
        <v>0.16</v>
      </c>
      <c r="V16">
        <f t="shared" si="6"/>
        <v>0.16</v>
      </c>
      <c r="W16">
        <f t="shared" ref="W16:Z16" si="31">V16+($AA16-$V16)/5</f>
        <v>0.152</v>
      </c>
      <c r="X16">
        <f t="shared" si="31"/>
        <v>0.14399999999999999</v>
      </c>
      <c r="Y16">
        <f t="shared" si="31"/>
        <v>0.13599999999999998</v>
      </c>
      <c r="Z16">
        <f t="shared" si="31"/>
        <v>0.12799999999999997</v>
      </c>
      <c r="AA16">
        <f t="shared" si="8"/>
        <v>0.12</v>
      </c>
      <c r="AB16">
        <f t="shared" si="9"/>
        <v>0.12</v>
      </c>
      <c r="AC16">
        <f t="shared" si="9"/>
        <v>0.12</v>
      </c>
    </row>
    <row r="17" spans="1:29" x14ac:dyDescent="0.3">
      <c r="A17" t="s">
        <v>16</v>
      </c>
      <c r="B17" t="s">
        <v>1</v>
      </c>
      <c r="C17">
        <f>SUMIF(Table1[Region],Sheet2!A17,Table1[Split Buildings])</f>
        <v>1</v>
      </c>
      <c r="D17">
        <f t="shared" si="2"/>
        <v>1</v>
      </c>
      <c r="E17">
        <f t="shared" si="2"/>
        <v>1</v>
      </c>
      <c r="F17">
        <f t="shared" si="2"/>
        <v>1</v>
      </c>
      <c r="G17">
        <f t="shared" ref="G17:J17" si="32">F17+($K17-$F17)/5</f>
        <v>0.95</v>
      </c>
      <c r="H17">
        <f t="shared" si="32"/>
        <v>0.89999999999999991</v>
      </c>
      <c r="I17">
        <f t="shared" si="32"/>
        <v>0.84999999999999987</v>
      </c>
      <c r="J17">
        <f t="shared" si="32"/>
        <v>0.79999999999999982</v>
      </c>
      <c r="K17">
        <f t="shared" si="4"/>
        <v>0.75</v>
      </c>
      <c r="L17">
        <f t="shared" si="5"/>
        <v>0.75</v>
      </c>
      <c r="M17">
        <f t="shared" si="5"/>
        <v>0.75</v>
      </c>
      <c r="Q17" t="s">
        <v>16</v>
      </c>
      <c r="R17" t="s">
        <v>2</v>
      </c>
      <c r="S17">
        <f>SUMIF(Table1[Region],Sheet2!Q17,Table1[Split Industry])</f>
        <v>0</v>
      </c>
      <c r="T17">
        <f t="shared" si="6"/>
        <v>0</v>
      </c>
      <c r="U17">
        <f t="shared" si="6"/>
        <v>0</v>
      </c>
      <c r="V17">
        <f t="shared" si="6"/>
        <v>0</v>
      </c>
      <c r="W17">
        <f t="shared" ref="W17:Z17" si="33">V17+($AA17-$V17)/5</f>
        <v>0</v>
      </c>
      <c r="X17">
        <f t="shared" si="33"/>
        <v>0</v>
      </c>
      <c r="Y17">
        <f t="shared" si="33"/>
        <v>0</v>
      </c>
      <c r="Z17">
        <f t="shared" si="33"/>
        <v>0</v>
      </c>
      <c r="AA17">
        <f t="shared" si="8"/>
        <v>0</v>
      </c>
      <c r="AB17">
        <f t="shared" si="9"/>
        <v>0</v>
      </c>
      <c r="AC17">
        <f t="shared" si="9"/>
        <v>0</v>
      </c>
    </row>
    <row r="18" spans="1:29" x14ac:dyDescent="0.3">
      <c r="A18" t="s">
        <v>17</v>
      </c>
      <c r="B18" t="s">
        <v>1</v>
      </c>
      <c r="C18">
        <f>SUMIF(Table1[Region],Sheet2!A18,Table1[Split Buildings])</f>
        <v>0</v>
      </c>
      <c r="D18">
        <f t="shared" si="2"/>
        <v>0</v>
      </c>
      <c r="E18">
        <f t="shared" si="2"/>
        <v>0</v>
      </c>
      <c r="F18">
        <f t="shared" si="2"/>
        <v>0</v>
      </c>
      <c r="G18">
        <f t="shared" ref="G18:J18" si="34">F18+($K18-$F18)/5</f>
        <v>0</v>
      </c>
      <c r="H18">
        <f t="shared" si="34"/>
        <v>0</v>
      </c>
      <c r="I18">
        <f t="shared" si="34"/>
        <v>0</v>
      </c>
      <c r="J18">
        <f t="shared" si="34"/>
        <v>0</v>
      </c>
      <c r="K18">
        <f t="shared" si="4"/>
        <v>0</v>
      </c>
      <c r="L18">
        <f t="shared" si="5"/>
        <v>0</v>
      </c>
      <c r="M18">
        <f t="shared" si="5"/>
        <v>0</v>
      </c>
      <c r="Q18" t="s">
        <v>17</v>
      </c>
      <c r="R18" t="s">
        <v>2</v>
      </c>
      <c r="S18">
        <f>SUMIF(Table1[Region],Sheet2!Q18,Table1[Split Industry])</f>
        <v>0</v>
      </c>
      <c r="T18">
        <f t="shared" si="6"/>
        <v>0</v>
      </c>
      <c r="U18">
        <f t="shared" si="6"/>
        <v>0</v>
      </c>
      <c r="V18">
        <f t="shared" si="6"/>
        <v>0</v>
      </c>
      <c r="W18">
        <f t="shared" ref="W18:Z18" si="35">V18+($AA18-$V18)/5</f>
        <v>0</v>
      </c>
      <c r="X18">
        <f t="shared" si="35"/>
        <v>0</v>
      </c>
      <c r="Y18">
        <f t="shared" si="35"/>
        <v>0</v>
      </c>
      <c r="Z18">
        <f t="shared" si="35"/>
        <v>0</v>
      </c>
      <c r="AA18">
        <f t="shared" si="8"/>
        <v>0</v>
      </c>
      <c r="AB18">
        <f t="shared" si="9"/>
        <v>0</v>
      </c>
      <c r="AC18">
        <f t="shared" si="9"/>
        <v>0</v>
      </c>
    </row>
    <row r="19" spans="1:29" x14ac:dyDescent="0.3">
      <c r="A19" t="s">
        <v>18</v>
      </c>
      <c r="B19" t="s">
        <v>1</v>
      </c>
      <c r="C19">
        <f>SUMIF(Table1[Region],Sheet2!A19,Table1[Split Buildings])</f>
        <v>0.97</v>
      </c>
      <c r="D19">
        <f t="shared" si="2"/>
        <v>0.97</v>
      </c>
      <c r="E19">
        <f t="shared" si="2"/>
        <v>0.97</v>
      </c>
      <c r="F19">
        <f t="shared" si="2"/>
        <v>0.97</v>
      </c>
      <c r="G19">
        <f t="shared" ref="G19:J19" si="36">F19+($K19-$F19)/5</f>
        <v>0.92149999999999999</v>
      </c>
      <c r="H19">
        <f t="shared" si="36"/>
        <v>0.873</v>
      </c>
      <c r="I19">
        <f t="shared" si="36"/>
        <v>0.82450000000000001</v>
      </c>
      <c r="J19">
        <f t="shared" si="36"/>
        <v>0.77600000000000002</v>
      </c>
      <c r="K19">
        <f t="shared" si="4"/>
        <v>0.72750000000000004</v>
      </c>
      <c r="L19">
        <f t="shared" si="5"/>
        <v>0.72750000000000004</v>
      </c>
      <c r="M19">
        <f t="shared" si="5"/>
        <v>0.72750000000000004</v>
      </c>
      <c r="Q19" t="s">
        <v>18</v>
      </c>
      <c r="R19" t="s">
        <v>2</v>
      </c>
      <c r="S19">
        <f>SUMIF(Table1[Region],Sheet2!Q19,Table1[Split Industry])</f>
        <v>0.03</v>
      </c>
      <c r="T19">
        <f t="shared" si="6"/>
        <v>0.03</v>
      </c>
      <c r="U19">
        <f t="shared" si="6"/>
        <v>0.03</v>
      </c>
      <c r="V19">
        <f t="shared" si="6"/>
        <v>0.03</v>
      </c>
      <c r="W19">
        <f t="shared" ref="W19:Z19" si="37">V19+($AA19-$V19)/5</f>
        <v>2.8499999999999998E-2</v>
      </c>
      <c r="X19">
        <f t="shared" si="37"/>
        <v>2.6999999999999996E-2</v>
      </c>
      <c r="Y19">
        <f t="shared" si="37"/>
        <v>2.5499999999999995E-2</v>
      </c>
      <c r="Z19">
        <f t="shared" si="37"/>
        <v>2.3999999999999994E-2</v>
      </c>
      <c r="AA19">
        <f t="shared" si="8"/>
        <v>2.2499999999999999E-2</v>
      </c>
      <c r="AB19">
        <f t="shared" si="9"/>
        <v>2.2499999999999999E-2</v>
      </c>
      <c r="AC19">
        <f t="shared" si="9"/>
        <v>2.2499999999999999E-2</v>
      </c>
    </row>
    <row r="20" spans="1:29" x14ac:dyDescent="0.3">
      <c r="A20" t="s">
        <v>19</v>
      </c>
      <c r="B20" t="s">
        <v>1</v>
      </c>
      <c r="C20">
        <f>SUMIF(Table1[Region],Sheet2!A20,Table1[Split Buildings])</f>
        <v>1</v>
      </c>
      <c r="D20">
        <f t="shared" si="2"/>
        <v>1</v>
      </c>
      <c r="E20">
        <f t="shared" si="2"/>
        <v>1</v>
      </c>
      <c r="F20">
        <f t="shared" si="2"/>
        <v>1</v>
      </c>
      <c r="G20">
        <f t="shared" ref="G20:J20" si="38">F20+($K20-$F20)/5</f>
        <v>0.95</v>
      </c>
      <c r="H20">
        <f t="shared" si="38"/>
        <v>0.89999999999999991</v>
      </c>
      <c r="I20">
        <f t="shared" si="38"/>
        <v>0.84999999999999987</v>
      </c>
      <c r="J20">
        <f t="shared" si="38"/>
        <v>0.79999999999999982</v>
      </c>
      <c r="K20">
        <f t="shared" si="4"/>
        <v>0.75</v>
      </c>
      <c r="L20">
        <f t="shared" si="5"/>
        <v>0.75</v>
      </c>
      <c r="M20">
        <f t="shared" si="5"/>
        <v>0.75</v>
      </c>
      <c r="Q20" t="s">
        <v>19</v>
      </c>
      <c r="R20" t="s">
        <v>2</v>
      </c>
      <c r="S20">
        <f>SUMIF(Table1[Region],Sheet2!Q20,Table1[Split Industry])</f>
        <v>0</v>
      </c>
      <c r="T20">
        <f t="shared" si="6"/>
        <v>0</v>
      </c>
      <c r="U20">
        <f t="shared" si="6"/>
        <v>0</v>
      </c>
      <c r="V20">
        <f t="shared" si="6"/>
        <v>0</v>
      </c>
      <c r="W20">
        <f t="shared" ref="W20:Z20" si="39">V20+($AA20-$V20)/5</f>
        <v>0</v>
      </c>
      <c r="X20">
        <f t="shared" si="39"/>
        <v>0</v>
      </c>
      <c r="Y20">
        <f t="shared" si="39"/>
        <v>0</v>
      </c>
      <c r="Z20">
        <f t="shared" si="39"/>
        <v>0</v>
      </c>
      <c r="AA20">
        <f t="shared" si="8"/>
        <v>0</v>
      </c>
      <c r="AB20">
        <f t="shared" si="9"/>
        <v>0</v>
      </c>
      <c r="AC20">
        <f t="shared" si="9"/>
        <v>0</v>
      </c>
    </row>
    <row r="21" spans="1:29" x14ac:dyDescent="0.3">
      <c r="A21" t="s">
        <v>20</v>
      </c>
      <c r="B21" t="s">
        <v>1</v>
      </c>
      <c r="C21">
        <f>SUMIF(Table1[Region],Sheet2!A21,Table1[Split Buildings])</f>
        <v>0.99</v>
      </c>
      <c r="D21">
        <f t="shared" si="2"/>
        <v>0.99</v>
      </c>
      <c r="E21">
        <f t="shared" si="2"/>
        <v>0.99</v>
      </c>
      <c r="F21">
        <f t="shared" si="2"/>
        <v>0.99</v>
      </c>
      <c r="G21">
        <f t="shared" ref="G21:J21" si="40">F21+($K21-$F21)/5</f>
        <v>0.9405</v>
      </c>
      <c r="H21">
        <f t="shared" si="40"/>
        <v>0.89100000000000001</v>
      </c>
      <c r="I21">
        <f t="shared" si="40"/>
        <v>0.84150000000000003</v>
      </c>
      <c r="J21">
        <f t="shared" si="40"/>
        <v>0.79200000000000004</v>
      </c>
      <c r="K21">
        <f t="shared" si="4"/>
        <v>0.74249999999999994</v>
      </c>
      <c r="L21">
        <f t="shared" si="5"/>
        <v>0.74249999999999994</v>
      </c>
      <c r="M21">
        <f t="shared" si="5"/>
        <v>0.74249999999999994</v>
      </c>
      <c r="Q21" t="s">
        <v>20</v>
      </c>
      <c r="R21" t="s">
        <v>2</v>
      </c>
      <c r="S21">
        <f>SUMIF(Table1[Region],Sheet2!Q21,Table1[Split Industry])</f>
        <v>0.01</v>
      </c>
      <c r="T21">
        <f t="shared" si="6"/>
        <v>0.01</v>
      </c>
      <c r="U21">
        <f t="shared" si="6"/>
        <v>0.01</v>
      </c>
      <c r="V21">
        <f t="shared" si="6"/>
        <v>0.01</v>
      </c>
      <c r="W21">
        <f t="shared" ref="W21:Z21" si="41">V21+($AA21-$V21)/5</f>
        <v>9.4999999999999998E-3</v>
      </c>
      <c r="X21">
        <f t="shared" si="41"/>
        <v>8.9999999999999993E-3</v>
      </c>
      <c r="Y21">
        <f t="shared" si="41"/>
        <v>8.4999999999999989E-3</v>
      </c>
      <c r="Z21">
        <f t="shared" si="41"/>
        <v>7.9999999999999984E-3</v>
      </c>
      <c r="AA21">
        <f t="shared" si="8"/>
        <v>7.4999999999999997E-3</v>
      </c>
      <c r="AB21">
        <f t="shared" si="9"/>
        <v>7.4999999999999997E-3</v>
      </c>
      <c r="AC21">
        <f t="shared" si="9"/>
        <v>7.4999999999999997E-3</v>
      </c>
    </row>
    <row r="22" spans="1:29" x14ac:dyDescent="0.3">
      <c r="A22" t="s">
        <v>21</v>
      </c>
      <c r="B22" t="s">
        <v>1</v>
      </c>
      <c r="C22">
        <f>SUMIF(Table1[Region],Sheet2!A22,Table1[Split Buildings])</f>
        <v>0.86</v>
      </c>
      <c r="D22">
        <f t="shared" si="2"/>
        <v>0.86</v>
      </c>
      <c r="E22">
        <f t="shared" si="2"/>
        <v>0.86</v>
      </c>
      <c r="F22">
        <f t="shared" si="2"/>
        <v>0.86</v>
      </c>
      <c r="G22">
        <f t="shared" ref="G22:J22" si="42">F22+($K22-$F22)/5</f>
        <v>0.81699999999999995</v>
      </c>
      <c r="H22">
        <f t="shared" si="42"/>
        <v>0.77399999999999991</v>
      </c>
      <c r="I22">
        <f t="shared" si="42"/>
        <v>0.73099999999999987</v>
      </c>
      <c r="J22">
        <f t="shared" si="42"/>
        <v>0.68799999999999983</v>
      </c>
      <c r="K22">
        <f t="shared" si="4"/>
        <v>0.64500000000000002</v>
      </c>
      <c r="L22">
        <f t="shared" si="5"/>
        <v>0.64500000000000002</v>
      </c>
      <c r="M22">
        <f t="shared" si="5"/>
        <v>0.64500000000000002</v>
      </c>
      <c r="Q22" t="s">
        <v>21</v>
      </c>
      <c r="R22" t="s">
        <v>2</v>
      </c>
      <c r="S22">
        <f>SUMIF(Table1[Region],Sheet2!Q22,Table1[Split Industry])</f>
        <v>0.14000000000000001</v>
      </c>
      <c r="T22">
        <f t="shared" si="6"/>
        <v>0.14000000000000001</v>
      </c>
      <c r="U22">
        <f t="shared" si="6"/>
        <v>0.14000000000000001</v>
      </c>
      <c r="V22">
        <f t="shared" si="6"/>
        <v>0.14000000000000001</v>
      </c>
      <c r="W22">
        <f t="shared" ref="W22:Z22" si="43">V22+($AA22-$V22)/5</f>
        <v>0.13300000000000001</v>
      </c>
      <c r="X22">
        <f t="shared" si="43"/>
        <v>0.126</v>
      </c>
      <c r="Y22">
        <f t="shared" si="43"/>
        <v>0.11899999999999999</v>
      </c>
      <c r="Z22">
        <f t="shared" si="43"/>
        <v>0.11199999999999999</v>
      </c>
      <c r="AA22">
        <f t="shared" si="8"/>
        <v>0.10500000000000001</v>
      </c>
      <c r="AB22">
        <f t="shared" si="9"/>
        <v>0.10500000000000001</v>
      </c>
      <c r="AC22">
        <f t="shared" si="9"/>
        <v>0.10500000000000001</v>
      </c>
    </row>
    <row r="23" spans="1:29" x14ac:dyDescent="0.3">
      <c r="A23" t="s">
        <v>22</v>
      </c>
      <c r="B23" t="s">
        <v>1</v>
      </c>
      <c r="C23">
        <f>SUMIF(Table1[Region],Sheet2!A23,Table1[Split Buildings])</f>
        <v>0.79</v>
      </c>
      <c r="D23">
        <f t="shared" si="2"/>
        <v>0.79</v>
      </c>
      <c r="E23">
        <f t="shared" si="2"/>
        <v>0.79</v>
      </c>
      <c r="F23">
        <f t="shared" si="2"/>
        <v>0.79</v>
      </c>
      <c r="G23">
        <f t="shared" ref="G23:J23" si="44">F23+($K23-$F23)/5</f>
        <v>0.75050000000000006</v>
      </c>
      <c r="H23">
        <f t="shared" si="44"/>
        <v>0.71100000000000008</v>
      </c>
      <c r="I23">
        <f t="shared" si="44"/>
        <v>0.6715000000000001</v>
      </c>
      <c r="J23">
        <f t="shared" si="44"/>
        <v>0.63200000000000012</v>
      </c>
      <c r="K23">
        <f t="shared" si="4"/>
        <v>0.59250000000000003</v>
      </c>
      <c r="L23">
        <f t="shared" si="5"/>
        <v>0.59250000000000003</v>
      </c>
      <c r="M23">
        <f t="shared" si="5"/>
        <v>0.59250000000000003</v>
      </c>
      <c r="Q23" t="s">
        <v>22</v>
      </c>
      <c r="R23" t="s">
        <v>2</v>
      </c>
      <c r="S23">
        <f>SUMIF(Table1[Region],Sheet2!Q23,Table1[Split Industry])</f>
        <v>0.21</v>
      </c>
      <c r="T23">
        <f t="shared" si="6"/>
        <v>0.21</v>
      </c>
      <c r="U23">
        <f t="shared" si="6"/>
        <v>0.21</v>
      </c>
      <c r="V23">
        <f t="shared" si="6"/>
        <v>0.21</v>
      </c>
      <c r="W23">
        <f t="shared" ref="W23:Z23" si="45">V23+($AA23-$V23)/5</f>
        <v>0.19949999999999998</v>
      </c>
      <c r="X23">
        <f t="shared" si="45"/>
        <v>0.18899999999999997</v>
      </c>
      <c r="Y23">
        <f t="shared" si="45"/>
        <v>0.17849999999999996</v>
      </c>
      <c r="Z23">
        <f t="shared" si="45"/>
        <v>0.16799999999999995</v>
      </c>
      <c r="AA23">
        <f t="shared" si="8"/>
        <v>0.1575</v>
      </c>
      <c r="AB23">
        <f t="shared" si="9"/>
        <v>0.1575</v>
      </c>
      <c r="AC23">
        <f t="shared" si="9"/>
        <v>0.1575</v>
      </c>
    </row>
    <row r="24" spans="1:29" x14ac:dyDescent="0.3">
      <c r="A24" t="s">
        <v>23</v>
      </c>
      <c r="B24" t="s">
        <v>1</v>
      </c>
      <c r="C24">
        <f>SUMIF(Table1[Region],Sheet2!A24,Table1[Split Buildings])</f>
        <v>0.86</v>
      </c>
      <c r="D24">
        <f t="shared" si="2"/>
        <v>0.86</v>
      </c>
      <c r="E24">
        <f t="shared" si="2"/>
        <v>0.86</v>
      </c>
      <c r="F24">
        <f t="shared" si="2"/>
        <v>0.86</v>
      </c>
      <c r="G24">
        <f t="shared" ref="G24:J24" si="46">F24+($K24-$F24)/5</f>
        <v>0.81699999999999995</v>
      </c>
      <c r="H24">
        <f t="shared" si="46"/>
        <v>0.77399999999999991</v>
      </c>
      <c r="I24">
        <f t="shared" si="46"/>
        <v>0.73099999999999987</v>
      </c>
      <c r="J24">
        <f t="shared" si="46"/>
        <v>0.68799999999999983</v>
      </c>
      <c r="K24">
        <f t="shared" si="4"/>
        <v>0.64500000000000002</v>
      </c>
      <c r="L24">
        <f t="shared" si="5"/>
        <v>0.64500000000000002</v>
      </c>
      <c r="M24">
        <f t="shared" si="5"/>
        <v>0.64500000000000002</v>
      </c>
      <c r="Q24" t="s">
        <v>23</v>
      </c>
      <c r="R24" t="s">
        <v>2</v>
      </c>
      <c r="S24">
        <f>SUMIF(Table1[Region],Sheet2!Q24,Table1[Split Industry])</f>
        <v>0.14000000000000001</v>
      </c>
      <c r="T24">
        <f t="shared" si="6"/>
        <v>0.14000000000000001</v>
      </c>
      <c r="U24">
        <f t="shared" si="6"/>
        <v>0.14000000000000001</v>
      </c>
      <c r="V24">
        <f t="shared" si="6"/>
        <v>0.14000000000000001</v>
      </c>
      <c r="W24">
        <f t="shared" ref="W24:Z24" si="47">V24+($AA24-$V24)/5</f>
        <v>0.13300000000000001</v>
      </c>
      <c r="X24">
        <f t="shared" si="47"/>
        <v>0.126</v>
      </c>
      <c r="Y24">
        <f t="shared" si="47"/>
        <v>0.11899999999999999</v>
      </c>
      <c r="Z24">
        <f t="shared" si="47"/>
        <v>0.11199999999999999</v>
      </c>
      <c r="AA24">
        <f t="shared" si="8"/>
        <v>0.10500000000000001</v>
      </c>
      <c r="AB24">
        <f t="shared" si="9"/>
        <v>0.10500000000000001</v>
      </c>
      <c r="AC24">
        <f t="shared" si="9"/>
        <v>0.10500000000000001</v>
      </c>
    </row>
    <row r="25" spans="1:29" x14ac:dyDescent="0.3">
      <c r="A25" t="s">
        <v>24</v>
      </c>
      <c r="B25" t="s">
        <v>1</v>
      </c>
      <c r="C25">
        <f>SUMIF(Table1[Region],Sheet2!A25,Table1[Split Buildings])</f>
        <v>0</v>
      </c>
      <c r="D25">
        <f t="shared" si="2"/>
        <v>0</v>
      </c>
      <c r="E25">
        <f t="shared" si="2"/>
        <v>0</v>
      </c>
      <c r="F25">
        <f t="shared" si="2"/>
        <v>0</v>
      </c>
      <c r="G25">
        <f t="shared" ref="G25:J25" si="48">F25+($K25-$F25)/5</f>
        <v>0</v>
      </c>
      <c r="H25">
        <f t="shared" si="48"/>
        <v>0</v>
      </c>
      <c r="I25">
        <f t="shared" si="48"/>
        <v>0</v>
      </c>
      <c r="J25">
        <f t="shared" si="48"/>
        <v>0</v>
      </c>
      <c r="K25">
        <f t="shared" si="4"/>
        <v>0</v>
      </c>
      <c r="L25">
        <f t="shared" si="5"/>
        <v>0</v>
      </c>
      <c r="M25">
        <f t="shared" si="5"/>
        <v>0</v>
      </c>
      <c r="Q25" t="s">
        <v>24</v>
      </c>
      <c r="R25" t="s">
        <v>2</v>
      </c>
      <c r="S25">
        <f>SUMIF(Table1[Region],Sheet2!Q25,Table1[Split Industry])</f>
        <v>0</v>
      </c>
      <c r="T25">
        <f t="shared" si="6"/>
        <v>0</v>
      </c>
      <c r="U25">
        <f t="shared" si="6"/>
        <v>0</v>
      </c>
      <c r="V25">
        <f t="shared" si="6"/>
        <v>0</v>
      </c>
      <c r="W25">
        <f t="shared" ref="W25:Z25" si="49">V25+($AA25-$V25)/5</f>
        <v>0</v>
      </c>
      <c r="X25">
        <f t="shared" si="49"/>
        <v>0</v>
      </c>
      <c r="Y25">
        <f t="shared" si="49"/>
        <v>0</v>
      </c>
      <c r="Z25">
        <f t="shared" si="49"/>
        <v>0</v>
      </c>
      <c r="AA25">
        <f t="shared" si="8"/>
        <v>0</v>
      </c>
      <c r="AB25">
        <f t="shared" si="9"/>
        <v>0</v>
      </c>
      <c r="AC25">
        <f t="shared" si="9"/>
        <v>0</v>
      </c>
    </row>
    <row r="26" spans="1:29" x14ac:dyDescent="0.3">
      <c r="A26" t="s">
        <v>25</v>
      </c>
      <c r="B26" t="s">
        <v>1</v>
      </c>
      <c r="C26">
        <f>SUMIF(Table1[Region],Sheet2!A26,Table1[Split Buildings])</f>
        <v>0.85</v>
      </c>
      <c r="D26">
        <f t="shared" si="2"/>
        <v>0.85</v>
      </c>
      <c r="E26">
        <f t="shared" si="2"/>
        <v>0.85</v>
      </c>
      <c r="F26">
        <f t="shared" si="2"/>
        <v>0.85</v>
      </c>
      <c r="G26">
        <f t="shared" ref="G26:J26" si="50">F26+($K26-$F26)/5</f>
        <v>0.8075</v>
      </c>
      <c r="H26">
        <f t="shared" si="50"/>
        <v>0.76500000000000001</v>
      </c>
      <c r="I26">
        <f t="shared" si="50"/>
        <v>0.72250000000000003</v>
      </c>
      <c r="J26">
        <f t="shared" si="50"/>
        <v>0.68</v>
      </c>
      <c r="K26">
        <f t="shared" si="4"/>
        <v>0.63749999999999996</v>
      </c>
      <c r="L26">
        <f t="shared" si="5"/>
        <v>0.63749999999999996</v>
      </c>
      <c r="M26">
        <f t="shared" si="5"/>
        <v>0.63749999999999996</v>
      </c>
      <c r="Q26" t="s">
        <v>25</v>
      </c>
      <c r="R26" t="s">
        <v>2</v>
      </c>
      <c r="S26">
        <f>SUMIF(Table1[Region],Sheet2!Q26,Table1[Split Industry])</f>
        <v>0.15</v>
      </c>
      <c r="T26">
        <f t="shared" si="6"/>
        <v>0.15</v>
      </c>
      <c r="U26">
        <f t="shared" si="6"/>
        <v>0.15</v>
      </c>
      <c r="V26">
        <f t="shared" si="6"/>
        <v>0.15</v>
      </c>
      <c r="W26">
        <f t="shared" ref="W26:Z26" si="51">V26+($AA26-$V26)/5</f>
        <v>0.14249999999999999</v>
      </c>
      <c r="X26">
        <f t="shared" si="51"/>
        <v>0.13499999999999998</v>
      </c>
      <c r="Y26">
        <f t="shared" si="51"/>
        <v>0.12749999999999997</v>
      </c>
      <c r="Z26">
        <f t="shared" si="51"/>
        <v>0.11999999999999997</v>
      </c>
      <c r="AA26">
        <f t="shared" si="8"/>
        <v>0.11249999999999999</v>
      </c>
      <c r="AB26">
        <f t="shared" si="9"/>
        <v>0.11249999999999999</v>
      </c>
      <c r="AC26">
        <f t="shared" si="9"/>
        <v>0.11249999999999999</v>
      </c>
    </row>
    <row r="27" spans="1:29" x14ac:dyDescent="0.3">
      <c r="A27" t="s">
        <v>26</v>
      </c>
      <c r="B27" t="s">
        <v>1</v>
      </c>
      <c r="C27">
        <f>SUMIF(Table1[Region],Sheet2!A27,Table1[Split Buildings])</f>
        <v>1</v>
      </c>
      <c r="D27">
        <f t="shared" si="2"/>
        <v>1</v>
      </c>
      <c r="E27">
        <f t="shared" si="2"/>
        <v>1</v>
      </c>
      <c r="F27">
        <f t="shared" si="2"/>
        <v>1</v>
      </c>
      <c r="G27">
        <f t="shared" ref="G27:J27" si="52">F27+($K27-$F27)/5</f>
        <v>0.95</v>
      </c>
      <c r="H27">
        <f t="shared" si="52"/>
        <v>0.89999999999999991</v>
      </c>
      <c r="I27">
        <f t="shared" si="52"/>
        <v>0.84999999999999987</v>
      </c>
      <c r="J27">
        <f t="shared" si="52"/>
        <v>0.79999999999999982</v>
      </c>
      <c r="K27">
        <f t="shared" si="4"/>
        <v>0.75</v>
      </c>
      <c r="L27">
        <f t="shared" si="5"/>
        <v>0.75</v>
      </c>
      <c r="M27">
        <f t="shared" si="5"/>
        <v>0.75</v>
      </c>
      <c r="Q27" t="s">
        <v>26</v>
      </c>
      <c r="R27" t="s">
        <v>2</v>
      </c>
      <c r="S27">
        <f>SUMIF(Table1[Region],Sheet2!Q27,Table1[Split Industry])</f>
        <v>0</v>
      </c>
      <c r="T27">
        <f t="shared" si="6"/>
        <v>0</v>
      </c>
      <c r="U27">
        <f t="shared" si="6"/>
        <v>0</v>
      </c>
      <c r="V27">
        <f t="shared" si="6"/>
        <v>0</v>
      </c>
      <c r="W27">
        <f t="shared" ref="W27:Z27" si="53">V27+($AA27-$V27)/5</f>
        <v>0</v>
      </c>
      <c r="X27">
        <f t="shared" si="53"/>
        <v>0</v>
      </c>
      <c r="Y27">
        <f t="shared" si="53"/>
        <v>0</v>
      </c>
      <c r="Z27">
        <f t="shared" si="53"/>
        <v>0</v>
      </c>
      <c r="AA27">
        <f t="shared" si="8"/>
        <v>0</v>
      </c>
      <c r="AB27">
        <f t="shared" si="9"/>
        <v>0</v>
      </c>
      <c r="AC27">
        <f t="shared" si="9"/>
        <v>0</v>
      </c>
    </row>
    <row r="28" spans="1:29" x14ac:dyDescent="0.3">
      <c r="A28" t="s">
        <v>27</v>
      </c>
      <c r="B28" t="s">
        <v>1</v>
      </c>
      <c r="C28">
        <f>SUMIF(Table1[Region],Sheet2!A28,Table1[Split Buildings])</f>
        <v>1</v>
      </c>
      <c r="D28">
        <f t="shared" si="2"/>
        <v>1</v>
      </c>
      <c r="E28">
        <f t="shared" si="2"/>
        <v>1</v>
      </c>
      <c r="F28">
        <f t="shared" si="2"/>
        <v>1</v>
      </c>
      <c r="G28">
        <f t="shared" ref="G28:J28" si="54">F28+($K28-$F28)/5</f>
        <v>0.95</v>
      </c>
      <c r="H28">
        <f t="shared" si="54"/>
        <v>0.89999999999999991</v>
      </c>
      <c r="I28">
        <f t="shared" si="54"/>
        <v>0.84999999999999987</v>
      </c>
      <c r="J28">
        <f t="shared" si="54"/>
        <v>0.79999999999999982</v>
      </c>
      <c r="K28">
        <f t="shared" si="4"/>
        <v>0.75</v>
      </c>
      <c r="L28">
        <f t="shared" si="5"/>
        <v>0.75</v>
      </c>
      <c r="M28">
        <f t="shared" si="5"/>
        <v>0.75</v>
      </c>
      <c r="Q28" t="s">
        <v>27</v>
      </c>
      <c r="R28" t="s">
        <v>2</v>
      </c>
      <c r="S28">
        <f>SUMIF(Table1[Region],Sheet2!Q28,Table1[Split Industry])</f>
        <v>0</v>
      </c>
      <c r="T28">
        <f t="shared" si="6"/>
        <v>0</v>
      </c>
      <c r="U28">
        <f t="shared" si="6"/>
        <v>0</v>
      </c>
      <c r="V28">
        <f t="shared" si="6"/>
        <v>0</v>
      </c>
      <c r="W28">
        <f t="shared" ref="W28:Z28" si="55">V28+($AA28-$V28)/5</f>
        <v>0</v>
      </c>
      <c r="X28">
        <f t="shared" si="55"/>
        <v>0</v>
      </c>
      <c r="Y28">
        <f t="shared" si="55"/>
        <v>0</v>
      </c>
      <c r="Z28">
        <f t="shared" si="55"/>
        <v>0</v>
      </c>
      <c r="AA28">
        <f t="shared" si="8"/>
        <v>0</v>
      </c>
      <c r="AB28">
        <f t="shared" si="9"/>
        <v>0</v>
      </c>
      <c r="AC28">
        <f t="shared" si="9"/>
        <v>0</v>
      </c>
    </row>
    <row r="29" spans="1:29" x14ac:dyDescent="0.3">
      <c r="A29" t="s">
        <v>28</v>
      </c>
      <c r="B29" t="s">
        <v>1</v>
      </c>
      <c r="C29">
        <f>SUMIF(Table1[Region],Sheet2!A29,Table1[Split Buildings])</f>
        <v>0.88</v>
      </c>
      <c r="D29">
        <f t="shared" si="2"/>
        <v>0.88</v>
      </c>
      <c r="E29">
        <f t="shared" si="2"/>
        <v>0.88</v>
      </c>
      <c r="F29">
        <f t="shared" si="2"/>
        <v>0.88</v>
      </c>
      <c r="G29">
        <f t="shared" ref="G29:J29" si="56">F29+($K29-$F29)/5</f>
        <v>0.83599999999999997</v>
      </c>
      <c r="H29">
        <f t="shared" si="56"/>
        <v>0.79199999999999993</v>
      </c>
      <c r="I29">
        <f t="shared" si="56"/>
        <v>0.74799999999999989</v>
      </c>
      <c r="J29">
        <f t="shared" si="56"/>
        <v>0.70399999999999985</v>
      </c>
      <c r="K29">
        <f t="shared" si="4"/>
        <v>0.66</v>
      </c>
      <c r="L29">
        <f t="shared" si="5"/>
        <v>0.66</v>
      </c>
      <c r="M29">
        <f t="shared" si="5"/>
        <v>0.66</v>
      </c>
      <c r="Q29" t="s">
        <v>28</v>
      </c>
      <c r="R29" t="s">
        <v>2</v>
      </c>
      <c r="S29">
        <f>SUMIF(Table1[Region],Sheet2!Q29,Table1[Split Industry])</f>
        <v>0.12</v>
      </c>
      <c r="T29">
        <f t="shared" si="6"/>
        <v>0.12</v>
      </c>
      <c r="U29">
        <f t="shared" si="6"/>
        <v>0.12</v>
      </c>
      <c r="V29">
        <f t="shared" si="6"/>
        <v>0.12</v>
      </c>
      <c r="W29">
        <f t="shared" ref="W29:Z29" si="57">V29+($AA29-$V29)/5</f>
        <v>0.11399999999999999</v>
      </c>
      <c r="X29">
        <f t="shared" si="57"/>
        <v>0.10799999999999998</v>
      </c>
      <c r="Y29">
        <f t="shared" si="57"/>
        <v>0.10199999999999998</v>
      </c>
      <c r="Z29">
        <f t="shared" si="57"/>
        <v>9.5999999999999974E-2</v>
      </c>
      <c r="AA29">
        <f t="shared" si="8"/>
        <v>0.09</v>
      </c>
      <c r="AB29">
        <f t="shared" si="9"/>
        <v>0.09</v>
      </c>
      <c r="AC29">
        <f t="shared" si="9"/>
        <v>0.09</v>
      </c>
    </row>
    <row r="30" spans="1:29" x14ac:dyDescent="0.3">
      <c r="A30" t="s">
        <v>29</v>
      </c>
      <c r="B30" t="s">
        <v>1</v>
      </c>
      <c r="C30">
        <f>SUMIF(Table1[Region],Sheet2!A30,Table1[Split Buildings])</f>
        <v>0.81</v>
      </c>
      <c r="D30">
        <f t="shared" si="2"/>
        <v>0.81</v>
      </c>
      <c r="E30">
        <f t="shared" si="2"/>
        <v>0.81</v>
      </c>
      <c r="F30">
        <f t="shared" si="2"/>
        <v>0.81</v>
      </c>
      <c r="G30">
        <f t="shared" ref="G30:J30" si="58">F30+($K30-$F30)/5</f>
        <v>0.76950000000000007</v>
      </c>
      <c r="H30">
        <f t="shared" si="58"/>
        <v>0.72900000000000009</v>
      </c>
      <c r="I30">
        <f t="shared" si="58"/>
        <v>0.68850000000000011</v>
      </c>
      <c r="J30">
        <f t="shared" si="58"/>
        <v>0.64800000000000013</v>
      </c>
      <c r="K30">
        <f t="shared" si="4"/>
        <v>0.60750000000000004</v>
      </c>
      <c r="L30">
        <f t="shared" si="5"/>
        <v>0.60750000000000004</v>
      </c>
      <c r="M30">
        <f t="shared" si="5"/>
        <v>0.60750000000000004</v>
      </c>
      <c r="Q30" t="s">
        <v>29</v>
      </c>
      <c r="R30" t="s">
        <v>2</v>
      </c>
      <c r="S30">
        <f>SUMIF(Table1[Region],Sheet2!Q30,Table1[Split Industry])</f>
        <v>0.19</v>
      </c>
      <c r="T30">
        <f t="shared" si="6"/>
        <v>0.19</v>
      </c>
      <c r="U30">
        <f t="shared" si="6"/>
        <v>0.19</v>
      </c>
      <c r="V30">
        <f t="shared" si="6"/>
        <v>0.19</v>
      </c>
      <c r="W30">
        <f t="shared" ref="W30:Z30" si="59">V30+($AA30-$V30)/5</f>
        <v>0.18049999999999999</v>
      </c>
      <c r="X30">
        <f t="shared" si="59"/>
        <v>0.17099999999999999</v>
      </c>
      <c r="Y30">
        <f t="shared" si="59"/>
        <v>0.16149999999999998</v>
      </c>
      <c r="Z30">
        <f t="shared" si="59"/>
        <v>0.15199999999999997</v>
      </c>
      <c r="AA30">
        <f t="shared" si="8"/>
        <v>0.14250000000000002</v>
      </c>
      <c r="AB30">
        <f t="shared" si="9"/>
        <v>0.14250000000000002</v>
      </c>
      <c r="AC30">
        <f t="shared" si="9"/>
        <v>0.14250000000000002</v>
      </c>
    </row>
    <row r="31" spans="1:29" x14ac:dyDescent="0.3">
      <c r="A31" t="s">
        <v>30</v>
      </c>
      <c r="B31" t="s">
        <v>1</v>
      </c>
      <c r="C31">
        <f>SUMIF(Table1[Region],Sheet2!A31,Table1[Split Buildings])</f>
        <v>0.61</v>
      </c>
      <c r="D31">
        <f t="shared" si="2"/>
        <v>0.61</v>
      </c>
      <c r="E31">
        <f t="shared" si="2"/>
        <v>0.61</v>
      </c>
      <c r="F31">
        <f t="shared" si="2"/>
        <v>0.61</v>
      </c>
      <c r="G31">
        <f t="shared" ref="G31:J31" si="60">F31+($K31-$F31)/5</f>
        <v>0.57950000000000002</v>
      </c>
      <c r="H31">
        <f t="shared" si="60"/>
        <v>0.54900000000000004</v>
      </c>
      <c r="I31">
        <f t="shared" si="60"/>
        <v>0.51850000000000007</v>
      </c>
      <c r="J31">
        <f t="shared" si="60"/>
        <v>0.4880000000000001</v>
      </c>
      <c r="K31">
        <f t="shared" si="4"/>
        <v>0.45750000000000002</v>
      </c>
      <c r="L31">
        <f t="shared" si="5"/>
        <v>0.45750000000000002</v>
      </c>
      <c r="M31">
        <f t="shared" si="5"/>
        <v>0.45750000000000002</v>
      </c>
      <c r="Q31" t="s">
        <v>30</v>
      </c>
      <c r="R31" t="s">
        <v>2</v>
      </c>
      <c r="S31">
        <f>SUMIF(Table1[Region],Sheet2!Q31,Table1[Split Industry])</f>
        <v>0.39</v>
      </c>
      <c r="T31">
        <f t="shared" si="6"/>
        <v>0.39</v>
      </c>
      <c r="U31">
        <f t="shared" si="6"/>
        <v>0.39</v>
      </c>
      <c r="V31">
        <f t="shared" si="6"/>
        <v>0.39</v>
      </c>
      <c r="W31">
        <f t="shared" ref="W31:Z31" si="61">V31+($AA31-$V31)/5</f>
        <v>0.3705</v>
      </c>
      <c r="X31">
        <f t="shared" si="61"/>
        <v>0.35099999999999998</v>
      </c>
      <c r="Y31">
        <f t="shared" si="61"/>
        <v>0.33149999999999996</v>
      </c>
      <c r="Z31">
        <f t="shared" si="61"/>
        <v>0.31199999999999994</v>
      </c>
      <c r="AA31">
        <f t="shared" si="8"/>
        <v>0.29249999999999998</v>
      </c>
      <c r="AB31">
        <f t="shared" si="9"/>
        <v>0.29249999999999998</v>
      </c>
      <c r="AC31">
        <f t="shared" si="9"/>
        <v>0.29249999999999998</v>
      </c>
    </row>
    <row r="32" spans="1:29" x14ac:dyDescent="0.3">
      <c r="A32" t="s">
        <v>31</v>
      </c>
      <c r="B32" t="s">
        <v>1</v>
      </c>
      <c r="C32">
        <f>SUMIF(Table1[Region],Sheet2!A32,Table1[Split Buildings])</f>
        <v>0</v>
      </c>
      <c r="D32">
        <f t="shared" si="2"/>
        <v>0</v>
      </c>
      <c r="E32">
        <f t="shared" si="2"/>
        <v>0</v>
      </c>
      <c r="F32">
        <f t="shared" si="2"/>
        <v>0</v>
      </c>
      <c r="G32">
        <f t="shared" ref="G32:J32" si="62">F32+($K32-$F32)/5</f>
        <v>0</v>
      </c>
      <c r="H32">
        <f t="shared" si="62"/>
        <v>0</v>
      </c>
      <c r="I32">
        <f t="shared" si="62"/>
        <v>0</v>
      </c>
      <c r="J32">
        <f t="shared" si="62"/>
        <v>0</v>
      </c>
      <c r="K32">
        <f t="shared" si="4"/>
        <v>0</v>
      </c>
      <c r="L32">
        <f t="shared" si="5"/>
        <v>0</v>
      </c>
      <c r="M32">
        <f t="shared" si="5"/>
        <v>0</v>
      </c>
      <c r="Q32" t="s">
        <v>31</v>
      </c>
      <c r="R32" t="s">
        <v>2</v>
      </c>
      <c r="S32">
        <f>SUMIF(Table1[Region],Sheet2!Q32,Table1[Split Industry])</f>
        <v>0</v>
      </c>
      <c r="T32">
        <f t="shared" si="6"/>
        <v>0</v>
      </c>
      <c r="U32">
        <f t="shared" si="6"/>
        <v>0</v>
      </c>
      <c r="V32">
        <f t="shared" si="6"/>
        <v>0</v>
      </c>
      <c r="W32">
        <f t="shared" ref="W32:Z32" si="63">V32+($AA32-$V32)/5</f>
        <v>0</v>
      </c>
      <c r="X32">
        <f t="shared" si="63"/>
        <v>0</v>
      </c>
      <c r="Y32">
        <f t="shared" si="63"/>
        <v>0</v>
      </c>
      <c r="Z32">
        <f t="shared" si="63"/>
        <v>0</v>
      </c>
      <c r="AA32">
        <f t="shared" si="8"/>
        <v>0</v>
      </c>
      <c r="AB32">
        <f t="shared" si="9"/>
        <v>0</v>
      </c>
      <c r="AC32">
        <f t="shared" si="9"/>
        <v>0</v>
      </c>
    </row>
    <row r="33" spans="1:29" x14ac:dyDescent="0.3">
      <c r="A33" t="s">
        <v>32</v>
      </c>
      <c r="B33" t="s">
        <v>1</v>
      </c>
      <c r="C33">
        <f>SUMIF(Table1[Region],Sheet2!A33,Table1[Split Buildings])</f>
        <v>1</v>
      </c>
      <c r="D33">
        <f t="shared" si="2"/>
        <v>1</v>
      </c>
      <c r="E33">
        <f t="shared" si="2"/>
        <v>1</v>
      </c>
      <c r="F33">
        <f t="shared" si="2"/>
        <v>1</v>
      </c>
      <c r="G33">
        <f t="shared" ref="G33:J33" si="64">F33+($K33-$F33)/5</f>
        <v>0.95</v>
      </c>
      <c r="H33">
        <f t="shared" si="64"/>
        <v>0.89999999999999991</v>
      </c>
      <c r="I33">
        <f t="shared" si="64"/>
        <v>0.84999999999999987</v>
      </c>
      <c r="J33">
        <f t="shared" si="64"/>
        <v>0.79999999999999982</v>
      </c>
      <c r="K33">
        <f t="shared" si="4"/>
        <v>0.75</v>
      </c>
      <c r="L33">
        <f t="shared" si="5"/>
        <v>0.75</v>
      </c>
      <c r="M33">
        <f t="shared" si="5"/>
        <v>0.75</v>
      </c>
      <c r="Q33" t="s">
        <v>32</v>
      </c>
      <c r="R33" t="s">
        <v>2</v>
      </c>
      <c r="S33">
        <f>SUMIF(Table1[Region],Sheet2!Q33,Table1[Split Industry])</f>
        <v>0</v>
      </c>
      <c r="T33">
        <f t="shared" si="6"/>
        <v>0</v>
      </c>
      <c r="U33">
        <f t="shared" si="6"/>
        <v>0</v>
      </c>
      <c r="V33">
        <f t="shared" si="6"/>
        <v>0</v>
      </c>
      <c r="W33">
        <f t="shared" ref="W33:Z33" si="65">V33+($AA33-$V33)/5</f>
        <v>0</v>
      </c>
      <c r="X33">
        <f t="shared" si="65"/>
        <v>0</v>
      </c>
      <c r="Y33">
        <f t="shared" si="65"/>
        <v>0</v>
      </c>
      <c r="Z33">
        <f t="shared" si="65"/>
        <v>0</v>
      </c>
      <c r="AA33">
        <f t="shared" si="8"/>
        <v>0</v>
      </c>
      <c r="AB33">
        <f t="shared" si="9"/>
        <v>0</v>
      </c>
      <c r="AC33">
        <f t="shared" si="9"/>
        <v>0</v>
      </c>
    </row>
    <row r="39" spans="1:29" x14ac:dyDescent="0.3">
      <c r="A39" t="s">
        <v>0</v>
      </c>
      <c r="B39" t="s">
        <v>53</v>
      </c>
      <c r="C39" t="s">
        <v>36</v>
      </c>
      <c r="D39" t="s">
        <v>37</v>
      </c>
      <c r="E39" t="s">
        <v>38</v>
      </c>
      <c r="F39" t="s">
        <v>39</v>
      </c>
      <c r="G39" t="s">
        <v>40</v>
      </c>
      <c r="H39" t="s">
        <v>41</v>
      </c>
      <c r="I39" t="s">
        <v>42</v>
      </c>
      <c r="J39" t="s">
        <v>43</v>
      </c>
      <c r="K39" t="s">
        <v>44</v>
      </c>
      <c r="L39" t="s">
        <v>45</v>
      </c>
      <c r="M39" t="s">
        <v>46</v>
      </c>
    </row>
    <row r="40" spans="1:29" x14ac:dyDescent="0.3">
      <c r="A40" t="str">
        <f>A4</f>
        <v>AT</v>
      </c>
      <c r="B40" t="str">
        <f t="shared" ref="B40:M40" si="66">B4</f>
        <v>Buildings</v>
      </c>
      <c r="C40">
        <f t="shared" si="66"/>
        <v>0.84</v>
      </c>
      <c r="D40">
        <f t="shared" si="66"/>
        <v>0.84</v>
      </c>
      <c r="E40">
        <f t="shared" si="66"/>
        <v>0.84</v>
      </c>
      <c r="F40">
        <f t="shared" si="66"/>
        <v>0.84</v>
      </c>
      <c r="G40">
        <f t="shared" si="66"/>
        <v>0.79799999999999993</v>
      </c>
      <c r="H40">
        <f t="shared" si="66"/>
        <v>0.75599999999999989</v>
      </c>
      <c r="I40">
        <f t="shared" si="66"/>
        <v>0.71399999999999986</v>
      </c>
      <c r="J40">
        <f t="shared" si="66"/>
        <v>0.67199999999999982</v>
      </c>
      <c r="K40">
        <f t="shared" si="66"/>
        <v>0.63</v>
      </c>
      <c r="L40">
        <f t="shared" si="66"/>
        <v>0.63</v>
      </c>
      <c r="M40">
        <f t="shared" si="66"/>
        <v>0.63</v>
      </c>
    </row>
    <row r="41" spans="1:29" x14ac:dyDescent="0.3">
      <c r="A41" t="str">
        <f t="shared" ref="A41:M41" si="67">A5</f>
        <v>BE</v>
      </c>
      <c r="B41" t="str">
        <f t="shared" si="67"/>
        <v>Buildings</v>
      </c>
      <c r="C41">
        <f t="shared" si="67"/>
        <v>0.73</v>
      </c>
      <c r="D41">
        <f t="shared" si="67"/>
        <v>0.73</v>
      </c>
      <c r="E41">
        <f t="shared" si="67"/>
        <v>0.73</v>
      </c>
      <c r="F41">
        <f t="shared" si="67"/>
        <v>0.73</v>
      </c>
      <c r="G41">
        <f t="shared" si="67"/>
        <v>0.69350000000000001</v>
      </c>
      <c r="H41">
        <f t="shared" si="67"/>
        <v>0.65700000000000003</v>
      </c>
      <c r="I41">
        <f t="shared" si="67"/>
        <v>0.62050000000000005</v>
      </c>
      <c r="J41">
        <f t="shared" si="67"/>
        <v>0.58400000000000007</v>
      </c>
      <c r="K41">
        <f t="shared" si="67"/>
        <v>0.54749999999999999</v>
      </c>
      <c r="L41">
        <f t="shared" si="67"/>
        <v>0.54749999999999999</v>
      </c>
      <c r="M41">
        <f t="shared" si="67"/>
        <v>0.54749999999999999</v>
      </c>
    </row>
    <row r="42" spans="1:29" x14ac:dyDescent="0.3">
      <c r="A42" t="str">
        <f t="shared" ref="A42:M42" si="68">A6</f>
        <v>BG</v>
      </c>
      <c r="B42" t="str">
        <f t="shared" si="68"/>
        <v>Buildings</v>
      </c>
      <c r="C42">
        <f t="shared" si="68"/>
        <v>0.89</v>
      </c>
      <c r="D42">
        <f t="shared" si="68"/>
        <v>0.89</v>
      </c>
      <c r="E42">
        <f t="shared" si="68"/>
        <v>0.89</v>
      </c>
      <c r="F42">
        <f t="shared" si="68"/>
        <v>0.89</v>
      </c>
      <c r="G42">
        <f t="shared" si="68"/>
        <v>0.84550000000000003</v>
      </c>
      <c r="H42">
        <f t="shared" si="68"/>
        <v>0.80100000000000005</v>
      </c>
      <c r="I42">
        <f t="shared" si="68"/>
        <v>0.75650000000000006</v>
      </c>
      <c r="J42">
        <f t="shared" si="68"/>
        <v>0.71200000000000008</v>
      </c>
      <c r="K42">
        <f t="shared" si="68"/>
        <v>0.66749999999999998</v>
      </c>
      <c r="L42">
        <f t="shared" si="68"/>
        <v>0.66749999999999998</v>
      </c>
      <c r="M42">
        <f t="shared" si="68"/>
        <v>0.66749999999999998</v>
      </c>
    </row>
    <row r="43" spans="1:29" x14ac:dyDescent="0.3">
      <c r="A43" t="str">
        <f t="shared" ref="A43:M43" si="69">A7</f>
        <v>CH</v>
      </c>
      <c r="B43" t="str">
        <f t="shared" si="69"/>
        <v>Buildings</v>
      </c>
      <c r="C43">
        <f t="shared" si="69"/>
        <v>0</v>
      </c>
      <c r="D43">
        <f t="shared" si="69"/>
        <v>0</v>
      </c>
      <c r="E43">
        <f t="shared" si="69"/>
        <v>0</v>
      </c>
      <c r="F43">
        <f t="shared" si="69"/>
        <v>0</v>
      </c>
      <c r="G43">
        <f t="shared" si="69"/>
        <v>0</v>
      </c>
      <c r="H43">
        <f t="shared" si="69"/>
        <v>0</v>
      </c>
      <c r="I43">
        <f t="shared" si="69"/>
        <v>0</v>
      </c>
      <c r="J43">
        <f t="shared" si="69"/>
        <v>0</v>
      </c>
      <c r="K43">
        <f t="shared" si="69"/>
        <v>0</v>
      </c>
      <c r="L43">
        <f t="shared" si="69"/>
        <v>0</v>
      </c>
      <c r="M43">
        <f t="shared" si="69"/>
        <v>0</v>
      </c>
    </row>
    <row r="44" spans="1:29" x14ac:dyDescent="0.3">
      <c r="A44" t="str">
        <f t="shared" ref="A44:M44" si="70">A8</f>
        <v>CZ</v>
      </c>
      <c r="B44" t="str">
        <f t="shared" si="70"/>
        <v>Buildings</v>
      </c>
      <c r="C44">
        <f t="shared" si="70"/>
        <v>0.66</v>
      </c>
      <c r="D44">
        <f t="shared" si="70"/>
        <v>0.66</v>
      </c>
      <c r="E44">
        <f t="shared" si="70"/>
        <v>0.66</v>
      </c>
      <c r="F44">
        <f t="shared" si="70"/>
        <v>0.66</v>
      </c>
      <c r="G44">
        <f t="shared" si="70"/>
        <v>0.627</v>
      </c>
      <c r="H44">
        <f t="shared" si="70"/>
        <v>0.59399999999999997</v>
      </c>
      <c r="I44">
        <f t="shared" si="70"/>
        <v>0.56099999999999994</v>
      </c>
      <c r="J44">
        <f t="shared" si="70"/>
        <v>0.52799999999999991</v>
      </c>
      <c r="K44">
        <f t="shared" si="70"/>
        <v>0.495</v>
      </c>
      <c r="L44">
        <f t="shared" si="70"/>
        <v>0.495</v>
      </c>
      <c r="M44">
        <f t="shared" si="70"/>
        <v>0.495</v>
      </c>
    </row>
    <row r="45" spans="1:29" x14ac:dyDescent="0.3">
      <c r="A45" t="str">
        <f t="shared" ref="A45:M45" si="71">A9</f>
        <v>DE</v>
      </c>
      <c r="B45" t="str">
        <f t="shared" si="71"/>
        <v>Buildings</v>
      </c>
      <c r="C45">
        <f t="shared" si="71"/>
        <v>0.78</v>
      </c>
      <c r="D45">
        <f t="shared" si="71"/>
        <v>0.78</v>
      </c>
      <c r="E45">
        <f t="shared" si="71"/>
        <v>0.78</v>
      </c>
      <c r="F45">
        <f t="shared" si="71"/>
        <v>0.78</v>
      </c>
      <c r="G45">
        <f t="shared" si="71"/>
        <v>0.74099999999999999</v>
      </c>
      <c r="H45">
        <f t="shared" si="71"/>
        <v>0.70199999999999996</v>
      </c>
      <c r="I45">
        <f t="shared" si="71"/>
        <v>0.66299999999999992</v>
      </c>
      <c r="J45">
        <f t="shared" si="71"/>
        <v>0.62399999999999989</v>
      </c>
      <c r="K45">
        <f t="shared" si="71"/>
        <v>0.58499999999999996</v>
      </c>
      <c r="L45">
        <f t="shared" si="71"/>
        <v>0.58499999999999996</v>
      </c>
      <c r="M45">
        <f t="shared" si="71"/>
        <v>0.58499999999999996</v>
      </c>
    </row>
    <row r="46" spans="1:29" x14ac:dyDescent="0.3">
      <c r="A46" t="str">
        <f t="shared" ref="A46:M46" si="72">A10</f>
        <v>DK</v>
      </c>
      <c r="B46" t="str">
        <f t="shared" si="72"/>
        <v>Buildings</v>
      </c>
      <c r="C46">
        <f t="shared" si="72"/>
        <v>0.95</v>
      </c>
      <c r="D46">
        <f t="shared" si="72"/>
        <v>0.95</v>
      </c>
      <c r="E46">
        <f t="shared" si="72"/>
        <v>0.95</v>
      </c>
      <c r="F46">
        <f t="shared" si="72"/>
        <v>0.95</v>
      </c>
      <c r="G46">
        <f t="shared" si="72"/>
        <v>0.90249999999999997</v>
      </c>
      <c r="H46">
        <f t="shared" si="72"/>
        <v>0.85499999999999998</v>
      </c>
      <c r="I46">
        <f t="shared" si="72"/>
        <v>0.8075</v>
      </c>
      <c r="J46">
        <f t="shared" si="72"/>
        <v>0.76</v>
      </c>
      <c r="K46">
        <f t="shared" si="72"/>
        <v>0.71249999999999991</v>
      </c>
      <c r="L46">
        <f t="shared" si="72"/>
        <v>0.71249999999999991</v>
      </c>
      <c r="M46">
        <f t="shared" si="72"/>
        <v>0.71249999999999991</v>
      </c>
    </row>
    <row r="47" spans="1:29" x14ac:dyDescent="0.3">
      <c r="A47" t="str">
        <f t="shared" ref="A47:M47" si="73">A11</f>
        <v>EE</v>
      </c>
      <c r="B47" t="str">
        <f t="shared" si="73"/>
        <v>Buildings</v>
      </c>
      <c r="C47">
        <f t="shared" si="73"/>
        <v>0.92</v>
      </c>
      <c r="D47">
        <f t="shared" si="73"/>
        <v>0.92</v>
      </c>
      <c r="E47">
        <f t="shared" si="73"/>
        <v>0.92</v>
      </c>
      <c r="F47">
        <f t="shared" si="73"/>
        <v>0.92</v>
      </c>
      <c r="G47">
        <f t="shared" si="73"/>
        <v>0.874</v>
      </c>
      <c r="H47">
        <f t="shared" si="73"/>
        <v>0.82799999999999996</v>
      </c>
      <c r="I47">
        <f t="shared" si="73"/>
        <v>0.78199999999999992</v>
      </c>
      <c r="J47">
        <f t="shared" si="73"/>
        <v>0.73599999999999988</v>
      </c>
      <c r="K47">
        <f t="shared" si="73"/>
        <v>0.69000000000000006</v>
      </c>
      <c r="L47">
        <f t="shared" si="73"/>
        <v>0.69000000000000006</v>
      </c>
      <c r="M47">
        <f t="shared" si="73"/>
        <v>0.69000000000000006</v>
      </c>
    </row>
    <row r="48" spans="1:29" x14ac:dyDescent="0.3">
      <c r="A48" t="str">
        <f t="shared" ref="A48:M48" si="74">A12</f>
        <v>ES</v>
      </c>
      <c r="B48" t="str">
        <f t="shared" si="74"/>
        <v>Buildings</v>
      </c>
      <c r="C48">
        <f t="shared" si="74"/>
        <v>0.78</v>
      </c>
      <c r="D48">
        <f t="shared" si="74"/>
        <v>0.78</v>
      </c>
      <c r="E48">
        <f t="shared" si="74"/>
        <v>0.78</v>
      </c>
      <c r="F48">
        <f t="shared" si="74"/>
        <v>0.78</v>
      </c>
      <c r="G48">
        <f t="shared" si="74"/>
        <v>0.74099999999999999</v>
      </c>
      <c r="H48">
        <f t="shared" si="74"/>
        <v>0.70199999999999996</v>
      </c>
      <c r="I48">
        <f t="shared" si="74"/>
        <v>0.66299999999999992</v>
      </c>
      <c r="J48">
        <f t="shared" si="74"/>
        <v>0.62399999999999989</v>
      </c>
      <c r="K48">
        <f t="shared" si="74"/>
        <v>0.58499999999999996</v>
      </c>
      <c r="L48">
        <f t="shared" si="74"/>
        <v>0.58499999999999996</v>
      </c>
      <c r="M48">
        <f t="shared" si="74"/>
        <v>0.58499999999999996</v>
      </c>
    </row>
    <row r="49" spans="1:13" x14ac:dyDescent="0.3">
      <c r="A49" t="str">
        <f t="shared" ref="A49:M49" si="75">A13</f>
        <v>FI</v>
      </c>
      <c r="B49" t="str">
        <f t="shared" si="75"/>
        <v>Buildings</v>
      </c>
      <c r="C49">
        <f t="shared" si="75"/>
        <v>0.91</v>
      </c>
      <c r="D49">
        <f t="shared" si="75"/>
        <v>0.91</v>
      </c>
      <c r="E49">
        <f t="shared" si="75"/>
        <v>0.91</v>
      </c>
      <c r="F49">
        <f t="shared" si="75"/>
        <v>0.91</v>
      </c>
      <c r="G49">
        <f t="shared" si="75"/>
        <v>0.86450000000000005</v>
      </c>
      <c r="H49">
        <f t="shared" si="75"/>
        <v>0.81900000000000006</v>
      </c>
      <c r="I49">
        <f t="shared" si="75"/>
        <v>0.77350000000000008</v>
      </c>
      <c r="J49">
        <f t="shared" si="75"/>
        <v>0.72800000000000009</v>
      </c>
      <c r="K49">
        <f t="shared" si="75"/>
        <v>0.6825</v>
      </c>
      <c r="L49">
        <f t="shared" si="75"/>
        <v>0.6825</v>
      </c>
      <c r="M49">
        <f t="shared" si="75"/>
        <v>0.6825</v>
      </c>
    </row>
    <row r="50" spans="1:13" x14ac:dyDescent="0.3">
      <c r="A50" t="str">
        <f t="shared" ref="A50:M50" si="76">A14</f>
        <v>FR</v>
      </c>
      <c r="B50" t="str">
        <f t="shared" si="76"/>
        <v>Buildings</v>
      </c>
      <c r="C50">
        <f t="shared" si="76"/>
        <v>0.87</v>
      </c>
      <c r="D50">
        <f t="shared" si="76"/>
        <v>0.87</v>
      </c>
      <c r="E50">
        <f t="shared" si="76"/>
        <v>0.87</v>
      </c>
      <c r="F50">
        <f t="shared" si="76"/>
        <v>0.87</v>
      </c>
      <c r="G50">
        <f t="shared" si="76"/>
        <v>0.82650000000000001</v>
      </c>
      <c r="H50">
        <f t="shared" si="76"/>
        <v>0.78300000000000003</v>
      </c>
      <c r="I50">
        <f t="shared" si="76"/>
        <v>0.73950000000000005</v>
      </c>
      <c r="J50">
        <f t="shared" si="76"/>
        <v>0.69600000000000006</v>
      </c>
      <c r="K50">
        <f t="shared" si="76"/>
        <v>0.65249999999999997</v>
      </c>
      <c r="L50">
        <f t="shared" si="76"/>
        <v>0.65249999999999997</v>
      </c>
      <c r="M50">
        <f t="shared" si="76"/>
        <v>0.65249999999999997</v>
      </c>
    </row>
    <row r="51" spans="1:13" x14ac:dyDescent="0.3">
      <c r="A51" t="str">
        <f t="shared" ref="A51:M51" si="77">A15</f>
        <v>GR</v>
      </c>
      <c r="B51" t="str">
        <f t="shared" si="77"/>
        <v>Buildings</v>
      </c>
      <c r="C51">
        <f t="shared" si="77"/>
        <v>1</v>
      </c>
      <c r="D51">
        <f t="shared" si="77"/>
        <v>1</v>
      </c>
      <c r="E51">
        <f t="shared" si="77"/>
        <v>1</v>
      </c>
      <c r="F51">
        <f t="shared" si="77"/>
        <v>1</v>
      </c>
      <c r="G51">
        <f t="shared" si="77"/>
        <v>0.95</v>
      </c>
      <c r="H51">
        <f t="shared" si="77"/>
        <v>0.89999999999999991</v>
      </c>
      <c r="I51">
        <f t="shared" si="77"/>
        <v>0.84999999999999987</v>
      </c>
      <c r="J51">
        <f t="shared" si="77"/>
        <v>0.79999999999999982</v>
      </c>
      <c r="K51">
        <f t="shared" si="77"/>
        <v>0.75</v>
      </c>
      <c r="L51">
        <f t="shared" si="77"/>
        <v>0.75</v>
      </c>
      <c r="M51">
        <f t="shared" si="77"/>
        <v>0.75</v>
      </c>
    </row>
    <row r="52" spans="1:13" x14ac:dyDescent="0.3">
      <c r="A52" t="str">
        <f t="shared" ref="A52:M52" si="78">A16</f>
        <v>HR</v>
      </c>
      <c r="B52" t="str">
        <f t="shared" si="78"/>
        <v>Buildings</v>
      </c>
      <c r="C52">
        <f t="shared" si="78"/>
        <v>0.84</v>
      </c>
      <c r="D52">
        <f t="shared" si="78"/>
        <v>0.84</v>
      </c>
      <c r="E52">
        <f t="shared" si="78"/>
        <v>0.84</v>
      </c>
      <c r="F52">
        <f t="shared" si="78"/>
        <v>0.84</v>
      </c>
      <c r="G52">
        <f t="shared" si="78"/>
        <v>0.79799999999999993</v>
      </c>
      <c r="H52">
        <f t="shared" si="78"/>
        <v>0.75599999999999989</v>
      </c>
      <c r="I52">
        <f t="shared" si="78"/>
        <v>0.71399999999999986</v>
      </c>
      <c r="J52">
        <f t="shared" si="78"/>
        <v>0.67199999999999982</v>
      </c>
      <c r="K52">
        <f t="shared" si="78"/>
        <v>0.63</v>
      </c>
      <c r="L52">
        <f t="shared" si="78"/>
        <v>0.63</v>
      </c>
      <c r="M52">
        <f t="shared" si="78"/>
        <v>0.63</v>
      </c>
    </row>
    <row r="53" spans="1:13" x14ac:dyDescent="0.3">
      <c r="A53" t="str">
        <f t="shared" ref="A53:M53" si="79">A17</f>
        <v>HU</v>
      </c>
      <c r="B53" t="str">
        <f t="shared" si="79"/>
        <v>Buildings</v>
      </c>
      <c r="C53">
        <f t="shared" si="79"/>
        <v>1</v>
      </c>
      <c r="D53">
        <f t="shared" si="79"/>
        <v>1</v>
      </c>
      <c r="E53">
        <f t="shared" si="79"/>
        <v>1</v>
      </c>
      <c r="F53">
        <f t="shared" si="79"/>
        <v>1</v>
      </c>
      <c r="G53">
        <f t="shared" si="79"/>
        <v>0.95</v>
      </c>
      <c r="H53">
        <f t="shared" si="79"/>
        <v>0.89999999999999991</v>
      </c>
      <c r="I53">
        <f t="shared" si="79"/>
        <v>0.84999999999999987</v>
      </c>
      <c r="J53">
        <f t="shared" si="79"/>
        <v>0.79999999999999982</v>
      </c>
      <c r="K53">
        <f t="shared" si="79"/>
        <v>0.75</v>
      </c>
      <c r="L53">
        <f t="shared" si="79"/>
        <v>0.75</v>
      </c>
      <c r="M53">
        <f t="shared" si="79"/>
        <v>0.75</v>
      </c>
    </row>
    <row r="54" spans="1:13" x14ac:dyDescent="0.3">
      <c r="A54" t="str">
        <f t="shared" ref="A54:M54" si="80">A18</f>
        <v>IE</v>
      </c>
      <c r="B54" t="str">
        <f t="shared" si="80"/>
        <v>Buildings</v>
      </c>
      <c r="C54">
        <f t="shared" si="80"/>
        <v>0</v>
      </c>
      <c r="D54">
        <f t="shared" si="80"/>
        <v>0</v>
      </c>
      <c r="E54">
        <f t="shared" si="80"/>
        <v>0</v>
      </c>
      <c r="F54">
        <f t="shared" si="80"/>
        <v>0</v>
      </c>
      <c r="G54">
        <f t="shared" si="80"/>
        <v>0</v>
      </c>
      <c r="H54">
        <f t="shared" si="80"/>
        <v>0</v>
      </c>
      <c r="I54">
        <f t="shared" si="80"/>
        <v>0</v>
      </c>
      <c r="J54">
        <f t="shared" si="80"/>
        <v>0</v>
      </c>
      <c r="K54">
        <f t="shared" si="80"/>
        <v>0</v>
      </c>
      <c r="L54">
        <f t="shared" si="80"/>
        <v>0</v>
      </c>
      <c r="M54">
        <f t="shared" si="80"/>
        <v>0</v>
      </c>
    </row>
    <row r="55" spans="1:13" x14ac:dyDescent="0.3">
      <c r="A55" t="str">
        <f t="shared" ref="A55:M55" si="81">A19</f>
        <v>IT</v>
      </c>
      <c r="B55" t="str">
        <f t="shared" si="81"/>
        <v>Buildings</v>
      </c>
      <c r="C55">
        <f t="shared" si="81"/>
        <v>0.97</v>
      </c>
      <c r="D55">
        <f t="shared" si="81"/>
        <v>0.97</v>
      </c>
      <c r="E55">
        <f t="shared" si="81"/>
        <v>0.97</v>
      </c>
      <c r="F55">
        <f t="shared" si="81"/>
        <v>0.97</v>
      </c>
      <c r="G55">
        <f t="shared" si="81"/>
        <v>0.92149999999999999</v>
      </c>
      <c r="H55">
        <f t="shared" si="81"/>
        <v>0.873</v>
      </c>
      <c r="I55">
        <f t="shared" si="81"/>
        <v>0.82450000000000001</v>
      </c>
      <c r="J55">
        <f t="shared" si="81"/>
        <v>0.77600000000000002</v>
      </c>
      <c r="K55">
        <f t="shared" si="81"/>
        <v>0.72750000000000004</v>
      </c>
      <c r="L55">
        <f t="shared" si="81"/>
        <v>0.72750000000000004</v>
      </c>
      <c r="M55">
        <f t="shared" si="81"/>
        <v>0.72750000000000004</v>
      </c>
    </row>
    <row r="56" spans="1:13" x14ac:dyDescent="0.3">
      <c r="A56" t="str">
        <f t="shared" ref="A56:M56" si="82">A20</f>
        <v>LT</v>
      </c>
      <c r="B56" t="str">
        <f t="shared" si="82"/>
        <v>Buildings</v>
      </c>
      <c r="C56">
        <f t="shared" si="82"/>
        <v>1</v>
      </c>
      <c r="D56">
        <f t="shared" si="82"/>
        <v>1</v>
      </c>
      <c r="E56">
        <f t="shared" si="82"/>
        <v>1</v>
      </c>
      <c r="F56">
        <f t="shared" si="82"/>
        <v>1</v>
      </c>
      <c r="G56">
        <f t="shared" si="82"/>
        <v>0.95</v>
      </c>
      <c r="H56">
        <f t="shared" si="82"/>
        <v>0.89999999999999991</v>
      </c>
      <c r="I56">
        <f t="shared" si="82"/>
        <v>0.84999999999999987</v>
      </c>
      <c r="J56">
        <f t="shared" si="82"/>
        <v>0.79999999999999982</v>
      </c>
      <c r="K56">
        <f t="shared" si="82"/>
        <v>0.75</v>
      </c>
      <c r="L56">
        <f t="shared" si="82"/>
        <v>0.75</v>
      </c>
      <c r="M56">
        <f t="shared" si="82"/>
        <v>0.75</v>
      </c>
    </row>
    <row r="57" spans="1:13" x14ac:dyDescent="0.3">
      <c r="A57" t="str">
        <f t="shared" ref="A57:M57" si="83">A21</f>
        <v>LU</v>
      </c>
      <c r="B57" t="str">
        <f t="shared" si="83"/>
        <v>Buildings</v>
      </c>
      <c r="C57">
        <f t="shared" si="83"/>
        <v>0.99</v>
      </c>
      <c r="D57">
        <f t="shared" si="83"/>
        <v>0.99</v>
      </c>
      <c r="E57">
        <f t="shared" si="83"/>
        <v>0.99</v>
      </c>
      <c r="F57">
        <f t="shared" si="83"/>
        <v>0.99</v>
      </c>
      <c r="G57">
        <f t="shared" si="83"/>
        <v>0.9405</v>
      </c>
      <c r="H57">
        <f t="shared" si="83"/>
        <v>0.89100000000000001</v>
      </c>
      <c r="I57">
        <f t="shared" si="83"/>
        <v>0.84150000000000003</v>
      </c>
      <c r="J57">
        <f t="shared" si="83"/>
        <v>0.79200000000000004</v>
      </c>
      <c r="K57">
        <f t="shared" si="83"/>
        <v>0.74249999999999994</v>
      </c>
      <c r="L57">
        <f t="shared" si="83"/>
        <v>0.74249999999999994</v>
      </c>
      <c r="M57">
        <f t="shared" si="83"/>
        <v>0.74249999999999994</v>
      </c>
    </row>
    <row r="58" spans="1:13" x14ac:dyDescent="0.3">
      <c r="A58" t="str">
        <f t="shared" ref="A58:M58" si="84">A22</f>
        <v>LV</v>
      </c>
      <c r="B58" t="str">
        <f t="shared" si="84"/>
        <v>Buildings</v>
      </c>
      <c r="C58">
        <f t="shared" si="84"/>
        <v>0.86</v>
      </c>
      <c r="D58">
        <f t="shared" si="84"/>
        <v>0.86</v>
      </c>
      <c r="E58">
        <f t="shared" si="84"/>
        <v>0.86</v>
      </c>
      <c r="F58">
        <f t="shared" si="84"/>
        <v>0.86</v>
      </c>
      <c r="G58">
        <f t="shared" si="84"/>
        <v>0.81699999999999995</v>
      </c>
      <c r="H58">
        <f t="shared" si="84"/>
        <v>0.77399999999999991</v>
      </c>
      <c r="I58">
        <f t="shared" si="84"/>
        <v>0.73099999999999987</v>
      </c>
      <c r="J58">
        <f t="shared" si="84"/>
        <v>0.68799999999999983</v>
      </c>
      <c r="K58">
        <f t="shared" si="84"/>
        <v>0.64500000000000002</v>
      </c>
      <c r="L58">
        <f t="shared" si="84"/>
        <v>0.64500000000000002</v>
      </c>
      <c r="M58">
        <f t="shared" si="84"/>
        <v>0.64500000000000002</v>
      </c>
    </row>
    <row r="59" spans="1:13" x14ac:dyDescent="0.3">
      <c r="A59" t="str">
        <f t="shared" ref="A59:M59" si="85">A23</f>
        <v>NL</v>
      </c>
      <c r="B59" t="str">
        <f t="shared" si="85"/>
        <v>Buildings</v>
      </c>
      <c r="C59">
        <f t="shared" si="85"/>
        <v>0.79</v>
      </c>
      <c r="D59">
        <f t="shared" si="85"/>
        <v>0.79</v>
      </c>
      <c r="E59">
        <f t="shared" si="85"/>
        <v>0.79</v>
      </c>
      <c r="F59">
        <f t="shared" si="85"/>
        <v>0.79</v>
      </c>
      <c r="G59">
        <f t="shared" si="85"/>
        <v>0.75050000000000006</v>
      </c>
      <c r="H59">
        <f t="shared" si="85"/>
        <v>0.71100000000000008</v>
      </c>
      <c r="I59">
        <f t="shared" si="85"/>
        <v>0.6715000000000001</v>
      </c>
      <c r="J59">
        <f t="shared" si="85"/>
        <v>0.63200000000000012</v>
      </c>
      <c r="K59">
        <f t="shared" si="85"/>
        <v>0.59250000000000003</v>
      </c>
      <c r="L59">
        <f t="shared" si="85"/>
        <v>0.59250000000000003</v>
      </c>
      <c r="M59">
        <f t="shared" si="85"/>
        <v>0.59250000000000003</v>
      </c>
    </row>
    <row r="60" spans="1:13" x14ac:dyDescent="0.3">
      <c r="A60" t="str">
        <f t="shared" ref="A60:M60" si="86">A24</f>
        <v>NO</v>
      </c>
      <c r="B60" t="str">
        <f t="shared" si="86"/>
        <v>Buildings</v>
      </c>
      <c r="C60">
        <f t="shared" si="86"/>
        <v>0.86</v>
      </c>
      <c r="D60">
        <f t="shared" si="86"/>
        <v>0.86</v>
      </c>
      <c r="E60">
        <f t="shared" si="86"/>
        <v>0.86</v>
      </c>
      <c r="F60">
        <f t="shared" si="86"/>
        <v>0.86</v>
      </c>
      <c r="G60">
        <f t="shared" si="86"/>
        <v>0.81699999999999995</v>
      </c>
      <c r="H60">
        <f t="shared" si="86"/>
        <v>0.77399999999999991</v>
      </c>
      <c r="I60">
        <f t="shared" si="86"/>
        <v>0.73099999999999987</v>
      </c>
      <c r="J60">
        <f t="shared" si="86"/>
        <v>0.68799999999999983</v>
      </c>
      <c r="K60">
        <f t="shared" si="86"/>
        <v>0.64500000000000002</v>
      </c>
      <c r="L60">
        <f t="shared" si="86"/>
        <v>0.64500000000000002</v>
      </c>
      <c r="M60">
        <f t="shared" si="86"/>
        <v>0.64500000000000002</v>
      </c>
    </row>
    <row r="61" spans="1:13" x14ac:dyDescent="0.3">
      <c r="A61" t="str">
        <f t="shared" ref="A61:M61" si="87">A25</f>
        <v>NONEU_Balkan</v>
      </c>
      <c r="B61" t="str">
        <f t="shared" si="87"/>
        <v>Buildings</v>
      </c>
      <c r="C61">
        <f t="shared" si="87"/>
        <v>0</v>
      </c>
      <c r="D61">
        <f t="shared" si="87"/>
        <v>0</v>
      </c>
      <c r="E61">
        <f t="shared" si="87"/>
        <v>0</v>
      </c>
      <c r="F61">
        <f t="shared" si="87"/>
        <v>0</v>
      </c>
      <c r="G61">
        <f t="shared" si="87"/>
        <v>0</v>
      </c>
      <c r="H61">
        <f t="shared" si="87"/>
        <v>0</v>
      </c>
      <c r="I61">
        <f t="shared" si="87"/>
        <v>0</v>
      </c>
      <c r="J61">
        <f t="shared" si="87"/>
        <v>0</v>
      </c>
      <c r="K61">
        <f t="shared" si="87"/>
        <v>0</v>
      </c>
      <c r="L61">
        <f t="shared" si="87"/>
        <v>0</v>
      </c>
      <c r="M61">
        <f t="shared" si="87"/>
        <v>0</v>
      </c>
    </row>
    <row r="62" spans="1:13" x14ac:dyDescent="0.3">
      <c r="A62" t="str">
        <f t="shared" ref="A62:M62" si="88">A26</f>
        <v>PL</v>
      </c>
      <c r="B62" t="str">
        <f t="shared" si="88"/>
        <v>Buildings</v>
      </c>
      <c r="C62">
        <f t="shared" si="88"/>
        <v>0.85</v>
      </c>
      <c r="D62">
        <f t="shared" si="88"/>
        <v>0.85</v>
      </c>
      <c r="E62">
        <f t="shared" si="88"/>
        <v>0.85</v>
      </c>
      <c r="F62">
        <f t="shared" si="88"/>
        <v>0.85</v>
      </c>
      <c r="G62">
        <f t="shared" si="88"/>
        <v>0.8075</v>
      </c>
      <c r="H62">
        <f t="shared" si="88"/>
        <v>0.76500000000000001</v>
      </c>
      <c r="I62">
        <f t="shared" si="88"/>
        <v>0.72250000000000003</v>
      </c>
      <c r="J62">
        <f t="shared" si="88"/>
        <v>0.68</v>
      </c>
      <c r="K62">
        <f t="shared" si="88"/>
        <v>0.63749999999999996</v>
      </c>
      <c r="L62">
        <f t="shared" si="88"/>
        <v>0.63749999999999996</v>
      </c>
      <c r="M62">
        <f t="shared" si="88"/>
        <v>0.63749999999999996</v>
      </c>
    </row>
    <row r="63" spans="1:13" x14ac:dyDescent="0.3">
      <c r="A63" t="str">
        <f t="shared" ref="A63:M63" si="89">A27</f>
        <v>PT</v>
      </c>
      <c r="B63" t="str">
        <f t="shared" si="89"/>
        <v>Buildings</v>
      </c>
      <c r="C63">
        <f t="shared" si="89"/>
        <v>1</v>
      </c>
      <c r="D63">
        <f t="shared" si="89"/>
        <v>1</v>
      </c>
      <c r="E63">
        <f t="shared" si="89"/>
        <v>1</v>
      </c>
      <c r="F63">
        <f t="shared" si="89"/>
        <v>1</v>
      </c>
      <c r="G63">
        <f t="shared" si="89"/>
        <v>0.95</v>
      </c>
      <c r="H63">
        <f t="shared" si="89"/>
        <v>0.89999999999999991</v>
      </c>
      <c r="I63">
        <f t="shared" si="89"/>
        <v>0.84999999999999987</v>
      </c>
      <c r="J63">
        <f t="shared" si="89"/>
        <v>0.79999999999999982</v>
      </c>
      <c r="K63">
        <f t="shared" si="89"/>
        <v>0.75</v>
      </c>
      <c r="L63">
        <f t="shared" si="89"/>
        <v>0.75</v>
      </c>
      <c r="M63">
        <f t="shared" si="89"/>
        <v>0.75</v>
      </c>
    </row>
    <row r="64" spans="1:13" x14ac:dyDescent="0.3">
      <c r="A64" t="str">
        <f t="shared" ref="A64:M64" si="90">A28</f>
        <v>RO</v>
      </c>
      <c r="B64" t="str">
        <f t="shared" si="90"/>
        <v>Buildings</v>
      </c>
      <c r="C64">
        <f t="shared" si="90"/>
        <v>1</v>
      </c>
      <c r="D64">
        <f t="shared" si="90"/>
        <v>1</v>
      </c>
      <c r="E64">
        <f t="shared" si="90"/>
        <v>1</v>
      </c>
      <c r="F64">
        <f t="shared" si="90"/>
        <v>1</v>
      </c>
      <c r="G64">
        <f t="shared" si="90"/>
        <v>0.95</v>
      </c>
      <c r="H64">
        <f t="shared" si="90"/>
        <v>0.89999999999999991</v>
      </c>
      <c r="I64">
        <f t="shared" si="90"/>
        <v>0.84999999999999987</v>
      </c>
      <c r="J64">
        <f t="shared" si="90"/>
        <v>0.79999999999999982</v>
      </c>
      <c r="K64">
        <f t="shared" si="90"/>
        <v>0.75</v>
      </c>
      <c r="L64">
        <f t="shared" si="90"/>
        <v>0.75</v>
      </c>
      <c r="M64">
        <f t="shared" si="90"/>
        <v>0.75</v>
      </c>
    </row>
    <row r="65" spans="1:13" x14ac:dyDescent="0.3">
      <c r="A65" t="str">
        <f t="shared" ref="A65:M65" si="91">A29</f>
        <v>SE</v>
      </c>
      <c r="B65" t="str">
        <f t="shared" si="91"/>
        <v>Buildings</v>
      </c>
      <c r="C65">
        <f t="shared" si="91"/>
        <v>0.88</v>
      </c>
      <c r="D65">
        <f t="shared" si="91"/>
        <v>0.88</v>
      </c>
      <c r="E65">
        <f t="shared" si="91"/>
        <v>0.88</v>
      </c>
      <c r="F65">
        <f t="shared" si="91"/>
        <v>0.88</v>
      </c>
      <c r="G65">
        <f t="shared" si="91"/>
        <v>0.83599999999999997</v>
      </c>
      <c r="H65">
        <f t="shared" si="91"/>
        <v>0.79199999999999993</v>
      </c>
      <c r="I65">
        <f t="shared" si="91"/>
        <v>0.74799999999999989</v>
      </c>
      <c r="J65">
        <f t="shared" si="91"/>
        <v>0.70399999999999985</v>
      </c>
      <c r="K65">
        <f t="shared" si="91"/>
        <v>0.66</v>
      </c>
      <c r="L65">
        <f t="shared" si="91"/>
        <v>0.66</v>
      </c>
      <c r="M65">
        <f t="shared" si="91"/>
        <v>0.66</v>
      </c>
    </row>
    <row r="66" spans="1:13" x14ac:dyDescent="0.3">
      <c r="A66" t="str">
        <f t="shared" ref="A66:M66" si="92">A30</f>
        <v>SI</v>
      </c>
      <c r="B66" t="str">
        <f t="shared" si="92"/>
        <v>Buildings</v>
      </c>
      <c r="C66">
        <f t="shared" si="92"/>
        <v>0.81</v>
      </c>
      <c r="D66">
        <f t="shared" si="92"/>
        <v>0.81</v>
      </c>
      <c r="E66">
        <f t="shared" si="92"/>
        <v>0.81</v>
      </c>
      <c r="F66">
        <f t="shared" si="92"/>
        <v>0.81</v>
      </c>
      <c r="G66">
        <f t="shared" si="92"/>
        <v>0.76950000000000007</v>
      </c>
      <c r="H66">
        <f t="shared" si="92"/>
        <v>0.72900000000000009</v>
      </c>
      <c r="I66">
        <f t="shared" si="92"/>
        <v>0.68850000000000011</v>
      </c>
      <c r="J66">
        <f t="shared" si="92"/>
        <v>0.64800000000000013</v>
      </c>
      <c r="K66">
        <f t="shared" si="92"/>
        <v>0.60750000000000004</v>
      </c>
      <c r="L66">
        <f t="shared" si="92"/>
        <v>0.60750000000000004</v>
      </c>
      <c r="M66">
        <f t="shared" si="92"/>
        <v>0.60750000000000004</v>
      </c>
    </row>
    <row r="67" spans="1:13" x14ac:dyDescent="0.3">
      <c r="A67" t="str">
        <f t="shared" ref="A67:M67" si="93">A31</f>
        <v>SK</v>
      </c>
      <c r="B67" t="str">
        <f t="shared" si="93"/>
        <v>Buildings</v>
      </c>
      <c r="C67">
        <f t="shared" si="93"/>
        <v>0.61</v>
      </c>
      <c r="D67">
        <f t="shared" si="93"/>
        <v>0.61</v>
      </c>
      <c r="E67">
        <f t="shared" si="93"/>
        <v>0.61</v>
      </c>
      <c r="F67">
        <f t="shared" si="93"/>
        <v>0.61</v>
      </c>
      <c r="G67">
        <f t="shared" si="93"/>
        <v>0.57950000000000002</v>
      </c>
      <c r="H67">
        <f t="shared" si="93"/>
        <v>0.54900000000000004</v>
      </c>
      <c r="I67">
        <f t="shared" si="93"/>
        <v>0.51850000000000007</v>
      </c>
      <c r="J67">
        <f t="shared" si="93"/>
        <v>0.4880000000000001</v>
      </c>
      <c r="K67">
        <f t="shared" si="93"/>
        <v>0.45750000000000002</v>
      </c>
      <c r="L67">
        <f t="shared" si="93"/>
        <v>0.45750000000000002</v>
      </c>
      <c r="M67">
        <f t="shared" si="93"/>
        <v>0.45750000000000002</v>
      </c>
    </row>
    <row r="68" spans="1:13" x14ac:dyDescent="0.3">
      <c r="A68" t="str">
        <f t="shared" ref="A68:M68" si="94">A32</f>
        <v>TR</v>
      </c>
      <c r="B68" t="str">
        <f t="shared" si="94"/>
        <v>Buildings</v>
      </c>
      <c r="C68">
        <f t="shared" si="94"/>
        <v>0</v>
      </c>
      <c r="D68">
        <f t="shared" si="94"/>
        <v>0</v>
      </c>
      <c r="E68">
        <f t="shared" si="94"/>
        <v>0</v>
      </c>
      <c r="F68">
        <f t="shared" si="94"/>
        <v>0</v>
      </c>
      <c r="G68">
        <f t="shared" si="94"/>
        <v>0</v>
      </c>
      <c r="H68">
        <f t="shared" si="94"/>
        <v>0</v>
      </c>
      <c r="I68">
        <f t="shared" si="94"/>
        <v>0</v>
      </c>
      <c r="J68">
        <f t="shared" si="94"/>
        <v>0</v>
      </c>
      <c r="K68">
        <f t="shared" si="94"/>
        <v>0</v>
      </c>
      <c r="L68">
        <f t="shared" si="94"/>
        <v>0</v>
      </c>
      <c r="M68">
        <f t="shared" si="94"/>
        <v>0</v>
      </c>
    </row>
    <row r="69" spans="1:13" x14ac:dyDescent="0.3">
      <c r="A69" t="str">
        <f t="shared" ref="A69:M69" si="95">A33</f>
        <v>UK</v>
      </c>
      <c r="B69" t="str">
        <f t="shared" si="95"/>
        <v>Buildings</v>
      </c>
      <c r="C69">
        <f t="shared" si="95"/>
        <v>1</v>
      </c>
      <c r="D69">
        <f t="shared" si="95"/>
        <v>1</v>
      </c>
      <c r="E69">
        <f t="shared" si="95"/>
        <v>1</v>
      </c>
      <c r="F69">
        <f t="shared" si="95"/>
        <v>1</v>
      </c>
      <c r="G69">
        <f t="shared" si="95"/>
        <v>0.95</v>
      </c>
      <c r="H69">
        <f t="shared" si="95"/>
        <v>0.89999999999999991</v>
      </c>
      <c r="I69">
        <f t="shared" si="95"/>
        <v>0.84999999999999987</v>
      </c>
      <c r="J69">
        <f t="shared" si="95"/>
        <v>0.79999999999999982</v>
      </c>
      <c r="K69">
        <f t="shared" si="95"/>
        <v>0.75</v>
      </c>
      <c r="L69">
        <f t="shared" si="95"/>
        <v>0.75</v>
      </c>
      <c r="M69">
        <f t="shared" si="95"/>
        <v>0.75</v>
      </c>
    </row>
    <row r="70" spans="1:13" x14ac:dyDescent="0.3">
      <c r="A70" t="str">
        <f>Q4</f>
        <v>AT</v>
      </c>
      <c r="B70" t="str">
        <f t="shared" ref="B70:M70" si="96">R4</f>
        <v>Industry</v>
      </c>
      <c r="C70">
        <f t="shared" si="96"/>
        <v>0.16</v>
      </c>
      <c r="D70">
        <f t="shared" si="96"/>
        <v>0.16</v>
      </c>
      <c r="E70">
        <f t="shared" si="96"/>
        <v>0.16</v>
      </c>
      <c r="F70">
        <f t="shared" si="96"/>
        <v>0.16</v>
      </c>
      <c r="G70">
        <f t="shared" si="96"/>
        <v>0.152</v>
      </c>
      <c r="H70">
        <f t="shared" si="96"/>
        <v>0.14399999999999999</v>
      </c>
      <c r="I70">
        <f t="shared" si="96"/>
        <v>0.13599999999999998</v>
      </c>
      <c r="J70">
        <f t="shared" si="96"/>
        <v>0.12799999999999997</v>
      </c>
      <c r="K70">
        <f t="shared" si="96"/>
        <v>0.12</v>
      </c>
      <c r="L70">
        <f t="shared" ref="L70:L99" si="97">AB4</f>
        <v>0.12</v>
      </c>
      <c r="M70">
        <f t="shared" ref="M70:M99" si="98">AC4</f>
        <v>0.12</v>
      </c>
    </row>
    <row r="71" spans="1:13" x14ac:dyDescent="0.3">
      <c r="A71" t="str">
        <f t="shared" ref="A71:A134" si="99">Q5</f>
        <v>BE</v>
      </c>
      <c r="B71" t="str">
        <f t="shared" ref="B71:B134" si="100">R5</f>
        <v>Industry</v>
      </c>
      <c r="C71">
        <f t="shared" ref="C71:C134" si="101">S5</f>
        <v>0.27</v>
      </c>
      <c r="D71">
        <f t="shared" ref="D71:D134" si="102">T5</f>
        <v>0.27</v>
      </c>
      <c r="E71">
        <f t="shared" ref="E71:E134" si="103">U5</f>
        <v>0.27</v>
      </c>
      <c r="F71">
        <f t="shared" ref="F71:F134" si="104">V5</f>
        <v>0.27</v>
      </c>
      <c r="G71">
        <f t="shared" ref="G71:G134" si="105">W5</f>
        <v>0.25650000000000001</v>
      </c>
      <c r="H71">
        <f t="shared" ref="H71:H134" si="106">X5</f>
        <v>0.24299999999999999</v>
      </c>
      <c r="I71">
        <f t="shared" ref="I71:I134" si="107">Y5</f>
        <v>0.22949999999999998</v>
      </c>
      <c r="J71">
        <f t="shared" ref="J71:J134" si="108">Z5</f>
        <v>0.21599999999999997</v>
      </c>
      <c r="K71">
        <f t="shared" ref="K71:K134" si="109">AA5</f>
        <v>0.20250000000000001</v>
      </c>
      <c r="L71">
        <f t="shared" si="97"/>
        <v>0.20250000000000001</v>
      </c>
      <c r="M71">
        <f t="shared" si="98"/>
        <v>0.20250000000000001</v>
      </c>
    </row>
    <row r="72" spans="1:13" x14ac:dyDescent="0.3">
      <c r="A72" t="str">
        <f t="shared" si="99"/>
        <v>BG</v>
      </c>
      <c r="B72" t="str">
        <f t="shared" si="100"/>
        <v>Industry</v>
      </c>
      <c r="C72">
        <f t="shared" si="101"/>
        <v>0.11</v>
      </c>
      <c r="D72">
        <f t="shared" si="102"/>
        <v>0.11</v>
      </c>
      <c r="E72">
        <f t="shared" si="103"/>
        <v>0.11</v>
      </c>
      <c r="F72">
        <f t="shared" si="104"/>
        <v>0.11</v>
      </c>
      <c r="G72">
        <f t="shared" si="105"/>
        <v>0.1045</v>
      </c>
      <c r="H72">
        <f t="shared" si="106"/>
        <v>9.8999999999999991E-2</v>
      </c>
      <c r="I72">
        <f t="shared" si="107"/>
        <v>9.3499999999999986E-2</v>
      </c>
      <c r="J72">
        <f t="shared" si="108"/>
        <v>8.7999999999999981E-2</v>
      </c>
      <c r="K72">
        <f t="shared" si="109"/>
        <v>8.2500000000000004E-2</v>
      </c>
      <c r="L72">
        <f t="shared" si="97"/>
        <v>8.2500000000000004E-2</v>
      </c>
      <c r="M72">
        <f t="shared" si="98"/>
        <v>8.2500000000000004E-2</v>
      </c>
    </row>
    <row r="73" spans="1:13" x14ac:dyDescent="0.3">
      <c r="A73" t="str">
        <f t="shared" si="99"/>
        <v>CH</v>
      </c>
      <c r="B73" t="str">
        <f t="shared" si="100"/>
        <v>Industry</v>
      </c>
      <c r="C73">
        <f t="shared" si="101"/>
        <v>0</v>
      </c>
      <c r="D73">
        <f t="shared" si="102"/>
        <v>0</v>
      </c>
      <c r="E73">
        <f t="shared" si="103"/>
        <v>0</v>
      </c>
      <c r="F73">
        <f t="shared" si="104"/>
        <v>0</v>
      </c>
      <c r="G73">
        <f t="shared" si="105"/>
        <v>0</v>
      </c>
      <c r="H73">
        <f t="shared" si="106"/>
        <v>0</v>
      </c>
      <c r="I73">
        <f t="shared" si="107"/>
        <v>0</v>
      </c>
      <c r="J73">
        <f t="shared" si="108"/>
        <v>0</v>
      </c>
      <c r="K73">
        <f t="shared" si="109"/>
        <v>0</v>
      </c>
      <c r="L73">
        <f t="shared" si="97"/>
        <v>0</v>
      </c>
      <c r="M73">
        <f t="shared" si="98"/>
        <v>0</v>
      </c>
    </row>
    <row r="74" spans="1:13" x14ac:dyDescent="0.3">
      <c r="A74" t="str">
        <f t="shared" si="99"/>
        <v>CZ</v>
      </c>
      <c r="B74" t="str">
        <f t="shared" si="100"/>
        <v>Industry</v>
      </c>
      <c r="C74">
        <f t="shared" si="101"/>
        <v>0.34</v>
      </c>
      <c r="D74">
        <f t="shared" si="102"/>
        <v>0.34</v>
      </c>
      <c r="E74">
        <f t="shared" si="103"/>
        <v>0.34</v>
      </c>
      <c r="F74">
        <f t="shared" si="104"/>
        <v>0.34</v>
      </c>
      <c r="G74">
        <f t="shared" si="105"/>
        <v>0.32300000000000001</v>
      </c>
      <c r="H74">
        <f t="shared" si="106"/>
        <v>0.30599999999999999</v>
      </c>
      <c r="I74">
        <f t="shared" si="107"/>
        <v>0.28899999999999998</v>
      </c>
      <c r="J74">
        <f t="shared" si="108"/>
        <v>0.27199999999999996</v>
      </c>
      <c r="K74">
        <f t="shared" si="109"/>
        <v>0.255</v>
      </c>
      <c r="L74">
        <f t="shared" si="97"/>
        <v>0.255</v>
      </c>
      <c r="M74">
        <f t="shared" si="98"/>
        <v>0.255</v>
      </c>
    </row>
    <row r="75" spans="1:13" x14ac:dyDescent="0.3">
      <c r="A75" t="str">
        <f t="shared" si="99"/>
        <v>DE</v>
      </c>
      <c r="B75" t="str">
        <f t="shared" si="100"/>
        <v>Industry</v>
      </c>
      <c r="C75">
        <f t="shared" si="101"/>
        <v>0.22</v>
      </c>
      <c r="D75">
        <f t="shared" si="102"/>
        <v>0.22</v>
      </c>
      <c r="E75">
        <f t="shared" si="103"/>
        <v>0.22</v>
      </c>
      <c r="F75">
        <f t="shared" si="104"/>
        <v>0.22</v>
      </c>
      <c r="G75">
        <f t="shared" si="105"/>
        <v>0.20899999999999999</v>
      </c>
      <c r="H75">
        <f t="shared" si="106"/>
        <v>0.19799999999999998</v>
      </c>
      <c r="I75">
        <f t="shared" si="107"/>
        <v>0.18699999999999997</v>
      </c>
      <c r="J75">
        <f t="shared" si="108"/>
        <v>0.17599999999999996</v>
      </c>
      <c r="K75">
        <f t="shared" si="109"/>
        <v>0.16500000000000001</v>
      </c>
      <c r="L75">
        <f t="shared" si="97"/>
        <v>0.16500000000000001</v>
      </c>
      <c r="M75">
        <f t="shared" si="98"/>
        <v>0.16500000000000001</v>
      </c>
    </row>
    <row r="76" spans="1:13" x14ac:dyDescent="0.3">
      <c r="A76" t="str">
        <f t="shared" si="99"/>
        <v>DK</v>
      </c>
      <c r="B76" t="str">
        <f t="shared" si="100"/>
        <v>Industry</v>
      </c>
      <c r="C76">
        <f t="shared" si="101"/>
        <v>0.05</v>
      </c>
      <c r="D76">
        <f t="shared" si="102"/>
        <v>0.05</v>
      </c>
      <c r="E76">
        <f t="shared" si="103"/>
        <v>0.05</v>
      </c>
      <c r="F76">
        <f t="shared" si="104"/>
        <v>0.05</v>
      </c>
      <c r="G76">
        <f t="shared" si="105"/>
        <v>4.7500000000000001E-2</v>
      </c>
      <c r="H76">
        <f t="shared" si="106"/>
        <v>4.4999999999999998E-2</v>
      </c>
      <c r="I76">
        <f t="shared" si="107"/>
        <v>4.2499999999999996E-2</v>
      </c>
      <c r="J76">
        <f t="shared" si="108"/>
        <v>3.9999999999999994E-2</v>
      </c>
      <c r="K76">
        <f t="shared" si="109"/>
        <v>3.7500000000000006E-2</v>
      </c>
      <c r="L76">
        <f t="shared" si="97"/>
        <v>3.7500000000000006E-2</v>
      </c>
      <c r="M76">
        <f t="shared" si="98"/>
        <v>3.7500000000000006E-2</v>
      </c>
    </row>
    <row r="77" spans="1:13" x14ac:dyDescent="0.3">
      <c r="A77" t="str">
        <f t="shared" si="99"/>
        <v>EE</v>
      </c>
      <c r="B77" t="str">
        <f t="shared" si="100"/>
        <v>Industry</v>
      </c>
      <c r="C77">
        <f t="shared" si="101"/>
        <v>0.08</v>
      </c>
      <c r="D77">
        <f t="shared" si="102"/>
        <v>0.08</v>
      </c>
      <c r="E77">
        <f t="shared" si="103"/>
        <v>0.08</v>
      </c>
      <c r="F77">
        <f t="shared" si="104"/>
        <v>0.08</v>
      </c>
      <c r="G77">
        <f t="shared" si="105"/>
        <v>7.5999999999999998E-2</v>
      </c>
      <c r="H77">
        <f t="shared" si="106"/>
        <v>7.1999999999999995E-2</v>
      </c>
      <c r="I77">
        <f t="shared" si="107"/>
        <v>6.7999999999999991E-2</v>
      </c>
      <c r="J77">
        <f t="shared" si="108"/>
        <v>6.3999999999999987E-2</v>
      </c>
      <c r="K77">
        <f t="shared" si="109"/>
        <v>0.06</v>
      </c>
      <c r="L77">
        <f t="shared" si="97"/>
        <v>0.06</v>
      </c>
      <c r="M77">
        <f t="shared" si="98"/>
        <v>0.06</v>
      </c>
    </row>
    <row r="78" spans="1:13" x14ac:dyDescent="0.3">
      <c r="A78" t="str">
        <f t="shared" si="99"/>
        <v>ES</v>
      </c>
      <c r="B78" t="str">
        <f t="shared" si="100"/>
        <v>Industry</v>
      </c>
      <c r="C78">
        <f t="shared" si="101"/>
        <v>0.22</v>
      </c>
      <c r="D78">
        <f t="shared" si="102"/>
        <v>0.22</v>
      </c>
      <c r="E78">
        <f t="shared" si="103"/>
        <v>0.22</v>
      </c>
      <c r="F78">
        <f t="shared" si="104"/>
        <v>0.22</v>
      </c>
      <c r="G78">
        <f t="shared" si="105"/>
        <v>0.20899999999999999</v>
      </c>
      <c r="H78">
        <f t="shared" si="106"/>
        <v>0.19799999999999998</v>
      </c>
      <c r="I78">
        <f t="shared" si="107"/>
        <v>0.18699999999999997</v>
      </c>
      <c r="J78">
        <f t="shared" si="108"/>
        <v>0.17599999999999996</v>
      </c>
      <c r="K78">
        <f t="shared" si="109"/>
        <v>0.16500000000000001</v>
      </c>
      <c r="L78">
        <f t="shared" si="97"/>
        <v>0.16500000000000001</v>
      </c>
      <c r="M78">
        <f t="shared" si="98"/>
        <v>0.16500000000000001</v>
      </c>
    </row>
    <row r="79" spans="1:13" x14ac:dyDescent="0.3">
      <c r="A79" t="str">
        <f t="shared" si="99"/>
        <v>FI</v>
      </c>
      <c r="B79" t="str">
        <f t="shared" si="100"/>
        <v>Industry</v>
      </c>
      <c r="C79">
        <f t="shared" si="101"/>
        <v>0.09</v>
      </c>
      <c r="D79">
        <f t="shared" si="102"/>
        <v>0.09</v>
      </c>
      <c r="E79">
        <f t="shared" si="103"/>
        <v>0.09</v>
      </c>
      <c r="F79">
        <f t="shared" si="104"/>
        <v>0.09</v>
      </c>
      <c r="G79">
        <f t="shared" si="105"/>
        <v>8.5499999999999993E-2</v>
      </c>
      <c r="H79">
        <f t="shared" si="106"/>
        <v>8.0999999999999989E-2</v>
      </c>
      <c r="I79">
        <f t="shared" si="107"/>
        <v>7.6499999999999985E-2</v>
      </c>
      <c r="J79">
        <f t="shared" si="108"/>
        <v>7.1999999999999981E-2</v>
      </c>
      <c r="K79">
        <f t="shared" si="109"/>
        <v>6.7500000000000004E-2</v>
      </c>
      <c r="L79">
        <f t="shared" si="97"/>
        <v>6.7500000000000004E-2</v>
      </c>
      <c r="M79">
        <f t="shared" si="98"/>
        <v>6.7500000000000004E-2</v>
      </c>
    </row>
    <row r="80" spans="1:13" x14ac:dyDescent="0.3">
      <c r="A80" t="str">
        <f t="shared" si="99"/>
        <v>FR</v>
      </c>
      <c r="B80" t="str">
        <f t="shared" si="100"/>
        <v>Industry</v>
      </c>
      <c r="C80">
        <f t="shared" si="101"/>
        <v>0.13</v>
      </c>
      <c r="D80">
        <f t="shared" si="102"/>
        <v>0.13</v>
      </c>
      <c r="E80">
        <f t="shared" si="103"/>
        <v>0.13</v>
      </c>
      <c r="F80">
        <f t="shared" si="104"/>
        <v>0.13</v>
      </c>
      <c r="G80">
        <f t="shared" si="105"/>
        <v>0.1235</v>
      </c>
      <c r="H80">
        <f t="shared" si="106"/>
        <v>0.11699999999999999</v>
      </c>
      <c r="I80">
        <f t="shared" si="107"/>
        <v>0.11049999999999999</v>
      </c>
      <c r="J80">
        <f t="shared" si="108"/>
        <v>0.10399999999999998</v>
      </c>
      <c r="K80">
        <f t="shared" si="109"/>
        <v>9.7500000000000003E-2</v>
      </c>
      <c r="L80">
        <f t="shared" si="97"/>
        <v>9.7500000000000003E-2</v>
      </c>
      <c r="M80">
        <f t="shared" si="98"/>
        <v>9.7500000000000003E-2</v>
      </c>
    </row>
    <row r="81" spans="1:13" x14ac:dyDescent="0.3">
      <c r="A81" t="str">
        <f t="shared" si="99"/>
        <v>GR</v>
      </c>
      <c r="B81" t="str">
        <f t="shared" si="100"/>
        <v>Industry</v>
      </c>
      <c r="C81">
        <f t="shared" si="101"/>
        <v>0</v>
      </c>
      <c r="D81">
        <f t="shared" si="102"/>
        <v>0</v>
      </c>
      <c r="E81">
        <f t="shared" si="103"/>
        <v>0</v>
      </c>
      <c r="F81">
        <f t="shared" si="104"/>
        <v>0</v>
      </c>
      <c r="G81">
        <f t="shared" si="105"/>
        <v>0</v>
      </c>
      <c r="H81">
        <f t="shared" si="106"/>
        <v>0</v>
      </c>
      <c r="I81">
        <f t="shared" si="107"/>
        <v>0</v>
      </c>
      <c r="J81">
        <f t="shared" si="108"/>
        <v>0</v>
      </c>
      <c r="K81">
        <f t="shared" si="109"/>
        <v>0</v>
      </c>
      <c r="L81">
        <f t="shared" si="97"/>
        <v>0</v>
      </c>
      <c r="M81">
        <f t="shared" si="98"/>
        <v>0</v>
      </c>
    </row>
    <row r="82" spans="1:13" x14ac:dyDescent="0.3">
      <c r="A82" t="str">
        <f t="shared" si="99"/>
        <v>HR</v>
      </c>
      <c r="B82" t="str">
        <f t="shared" si="100"/>
        <v>Industry</v>
      </c>
      <c r="C82">
        <f t="shared" si="101"/>
        <v>0.16</v>
      </c>
      <c r="D82">
        <f t="shared" si="102"/>
        <v>0.16</v>
      </c>
      <c r="E82">
        <f t="shared" si="103"/>
        <v>0.16</v>
      </c>
      <c r="F82">
        <f t="shared" si="104"/>
        <v>0.16</v>
      </c>
      <c r="G82">
        <f t="shared" si="105"/>
        <v>0.152</v>
      </c>
      <c r="H82">
        <f t="shared" si="106"/>
        <v>0.14399999999999999</v>
      </c>
      <c r="I82">
        <f t="shared" si="107"/>
        <v>0.13599999999999998</v>
      </c>
      <c r="J82">
        <f t="shared" si="108"/>
        <v>0.12799999999999997</v>
      </c>
      <c r="K82">
        <f t="shared" si="109"/>
        <v>0.12</v>
      </c>
      <c r="L82">
        <f t="shared" si="97"/>
        <v>0.12</v>
      </c>
      <c r="M82">
        <f t="shared" si="98"/>
        <v>0.12</v>
      </c>
    </row>
    <row r="83" spans="1:13" x14ac:dyDescent="0.3">
      <c r="A83" t="str">
        <f t="shared" si="99"/>
        <v>HU</v>
      </c>
      <c r="B83" t="str">
        <f t="shared" si="100"/>
        <v>Industry</v>
      </c>
      <c r="C83">
        <f t="shared" si="101"/>
        <v>0</v>
      </c>
      <c r="D83">
        <f t="shared" si="102"/>
        <v>0</v>
      </c>
      <c r="E83">
        <f t="shared" si="103"/>
        <v>0</v>
      </c>
      <c r="F83">
        <f t="shared" si="104"/>
        <v>0</v>
      </c>
      <c r="G83">
        <f t="shared" si="105"/>
        <v>0</v>
      </c>
      <c r="H83">
        <f t="shared" si="106"/>
        <v>0</v>
      </c>
      <c r="I83">
        <f t="shared" si="107"/>
        <v>0</v>
      </c>
      <c r="J83">
        <f t="shared" si="108"/>
        <v>0</v>
      </c>
      <c r="K83">
        <f t="shared" si="109"/>
        <v>0</v>
      </c>
      <c r="L83">
        <f t="shared" si="97"/>
        <v>0</v>
      </c>
      <c r="M83">
        <f t="shared" si="98"/>
        <v>0</v>
      </c>
    </row>
    <row r="84" spans="1:13" x14ac:dyDescent="0.3">
      <c r="A84" t="str">
        <f t="shared" si="99"/>
        <v>IE</v>
      </c>
      <c r="B84" t="str">
        <f t="shared" si="100"/>
        <v>Industry</v>
      </c>
      <c r="C84">
        <f t="shared" si="101"/>
        <v>0</v>
      </c>
      <c r="D84">
        <f t="shared" si="102"/>
        <v>0</v>
      </c>
      <c r="E84">
        <f t="shared" si="103"/>
        <v>0</v>
      </c>
      <c r="F84">
        <f t="shared" si="104"/>
        <v>0</v>
      </c>
      <c r="G84">
        <f t="shared" si="105"/>
        <v>0</v>
      </c>
      <c r="H84">
        <f t="shared" si="106"/>
        <v>0</v>
      </c>
      <c r="I84">
        <f t="shared" si="107"/>
        <v>0</v>
      </c>
      <c r="J84">
        <f t="shared" si="108"/>
        <v>0</v>
      </c>
      <c r="K84">
        <f t="shared" si="109"/>
        <v>0</v>
      </c>
      <c r="L84">
        <f t="shared" si="97"/>
        <v>0</v>
      </c>
      <c r="M84">
        <f t="shared" si="98"/>
        <v>0</v>
      </c>
    </row>
    <row r="85" spans="1:13" x14ac:dyDescent="0.3">
      <c r="A85" t="str">
        <f t="shared" si="99"/>
        <v>IT</v>
      </c>
      <c r="B85" t="str">
        <f t="shared" si="100"/>
        <v>Industry</v>
      </c>
      <c r="C85">
        <f t="shared" si="101"/>
        <v>0.03</v>
      </c>
      <c r="D85">
        <f t="shared" si="102"/>
        <v>0.03</v>
      </c>
      <c r="E85">
        <f t="shared" si="103"/>
        <v>0.03</v>
      </c>
      <c r="F85">
        <f t="shared" si="104"/>
        <v>0.03</v>
      </c>
      <c r="G85">
        <f t="shared" si="105"/>
        <v>2.8499999999999998E-2</v>
      </c>
      <c r="H85">
        <f t="shared" si="106"/>
        <v>2.6999999999999996E-2</v>
      </c>
      <c r="I85">
        <f t="shared" si="107"/>
        <v>2.5499999999999995E-2</v>
      </c>
      <c r="J85">
        <f t="shared" si="108"/>
        <v>2.3999999999999994E-2</v>
      </c>
      <c r="K85">
        <f t="shared" si="109"/>
        <v>2.2499999999999999E-2</v>
      </c>
      <c r="L85">
        <f t="shared" si="97"/>
        <v>2.2499999999999999E-2</v>
      </c>
      <c r="M85">
        <f t="shared" si="98"/>
        <v>2.2499999999999999E-2</v>
      </c>
    </row>
    <row r="86" spans="1:13" x14ac:dyDescent="0.3">
      <c r="A86" t="str">
        <f t="shared" si="99"/>
        <v>LT</v>
      </c>
      <c r="B86" t="str">
        <f t="shared" si="100"/>
        <v>Industry</v>
      </c>
      <c r="C86">
        <f t="shared" si="101"/>
        <v>0</v>
      </c>
      <c r="D86">
        <f t="shared" si="102"/>
        <v>0</v>
      </c>
      <c r="E86">
        <f t="shared" si="103"/>
        <v>0</v>
      </c>
      <c r="F86">
        <f t="shared" si="104"/>
        <v>0</v>
      </c>
      <c r="G86">
        <f t="shared" si="105"/>
        <v>0</v>
      </c>
      <c r="H86">
        <f t="shared" si="106"/>
        <v>0</v>
      </c>
      <c r="I86">
        <f t="shared" si="107"/>
        <v>0</v>
      </c>
      <c r="J86">
        <f t="shared" si="108"/>
        <v>0</v>
      </c>
      <c r="K86">
        <f t="shared" si="109"/>
        <v>0</v>
      </c>
      <c r="L86">
        <f t="shared" si="97"/>
        <v>0</v>
      </c>
      <c r="M86">
        <f t="shared" si="98"/>
        <v>0</v>
      </c>
    </row>
    <row r="87" spans="1:13" x14ac:dyDescent="0.3">
      <c r="A87" t="str">
        <f t="shared" si="99"/>
        <v>LU</v>
      </c>
      <c r="B87" t="str">
        <f t="shared" si="100"/>
        <v>Industry</v>
      </c>
      <c r="C87">
        <f t="shared" si="101"/>
        <v>0.01</v>
      </c>
      <c r="D87">
        <f t="shared" si="102"/>
        <v>0.01</v>
      </c>
      <c r="E87">
        <f t="shared" si="103"/>
        <v>0.01</v>
      </c>
      <c r="F87">
        <f t="shared" si="104"/>
        <v>0.01</v>
      </c>
      <c r="G87">
        <f t="shared" si="105"/>
        <v>9.4999999999999998E-3</v>
      </c>
      <c r="H87">
        <f t="shared" si="106"/>
        <v>8.9999999999999993E-3</v>
      </c>
      <c r="I87">
        <f t="shared" si="107"/>
        <v>8.4999999999999989E-3</v>
      </c>
      <c r="J87">
        <f t="shared" si="108"/>
        <v>7.9999999999999984E-3</v>
      </c>
      <c r="K87">
        <f t="shared" si="109"/>
        <v>7.4999999999999997E-3</v>
      </c>
      <c r="L87">
        <f t="shared" si="97"/>
        <v>7.4999999999999997E-3</v>
      </c>
      <c r="M87">
        <f t="shared" si="98"/>
        <v>7.4999999999999997E-3</v>
      </c>
    </row>
    <row r="88" spans="1:13" x14ac:dyDescent="0.3">
      <c r="A88" t="str">
        <f t="shared" si="99"/>
        <v>LV</v>
      </c>
      <c r="B88" t="str">
        <f t="shared" si="100"/>
        <v>Industry</v>
      </c>
      <c r="C88">
        <f t="shared" si="101"/>
        <v>0.14000000000000001</v>
      </c>
      <c r="D88">
        <f t="shared" si="102"/>
        <v>0.14000000000000001</v>
      </c>
      <c r="E88">
        <f t="shared" si="103"/>
        <v>0.14000000000000001</v>
      </c>
      <c r="F88">
        <f t="shared" si="104"/>
        <v>0.14000000000000001</v>
      </c>
      <c r="G88">
        <f t="shared" si="105"/>
        <v>0.13300000000000001</v>
      </c>
      <c r="H88">
        <f t="shared" si="106"/>
        <v>0.126</v>
      </c>
      <c r="I88">
        <f t="shared" si="107"/>
        <v>0.11899999999999999</v>
      </c>
      <c r="J88">
        <f t="shared" si="108"/>
        <v>0.11199999999999999</v>
      </c>
      <c r="K88">
        <f t="shared" si="109"/>
        <v>0.10500000000000001</v>
      </c>
      <c r="L88">
        <f t="shared" si="97"/>
        <v>0.10500000000000001</v>
      </c>
      <c r="M88">
        <f t="shared" si="98"/>
        <v>0.10500000000000001</v>
      </c>
    </row>
    <row r="89" spans="1:13" x14ac:dyDescent="0.3">
      <c r="A89" t="str">
        <f t="shared" si="99"/>
        <v>NL</v>
      </c>
      <c r="B89" t="str">
        <f t="shared" si="100"/>
        <v>Industry</v>
      </c>
      <c r="C89">
        <f t="shared" si="101"/>
        <v>0.21</v>
      </c>
      <c r="D89">
        <f t="shared" si="102"/>
        <v>0.21</v>
      </c>
      <c r="E89">
        <f t="shared" si="103"/>
        <v>0.21</v>
      </c>
      <c r="F89">
        <f t="shared" si="104"/>
        <v>0.21</v>
      </c>
      <c r="G89">
        <f t="shared" si="105"/>
        <v>0.19949999999999998</v>
      </c>
      <c r="H89">
        <f t="shared" si="106"/>
        <v>0.18899999999999997</v>
      </c>
      <c r="I89">
        <f t="shared" si="107"/>
        <v>0.17849999999999996</v>
      </c>
      <c r="J89">
        <f t="shared" si="108"/>
        <v>0.16799999999999995</v>
      </c>
      <c r="K89">
        <f t="shared" si="109"/>
        <v>0.1575</v>
      </c>
      <c r="L89">
        <f t="shared" si="97"/>
        <v>0.1575</v>
      </c>
      <c r="M89">
        <f t="shared" si="98"/>
        <v>0.1575</v>
      </c>
    </row>
    <row r="90" spans="1:13" x14ac:dyDescent="0.3">
      <c r="A90" t="str">
        <f t="shared" si="99"/>
        <v>NO</v>
      </c>
      <c r="B90" t="str">
        <f t="shared" si="100"/>
        <v>Industry</v>
      </c>
      <c r="C90">
        <f t="shared" si="101"/>
        <v>0.14000000000000001</v>
      </c>
      <c r="D90">
        <f t="shared" si="102"/>
        <v>0.14000000000000001</v>
      </c>
      <c r="E90">
        <f t="shared" si="103"/>
        <v>0.14000000000000001</v>
      </c>
      <c r="F90">
        <f t="shared" si="104"/>
        <v>0.14000000000000001</v>
      </c>
      <c r="G90">
        <f t="shared" si="105"/>
        <v>0.13300000000000001</v>
      </c>
      <c r="H90">
        <f t="shared" si="106"/>
        <v>0.126</v>
      </c>
      <c r="I90">
        <f t="shared" si="107"/>
        <v>0.11899999999999999</v>
      </c>
      <c r="J90">
        <f t="shared" si="108"/>
        <v>0.11199999999999999</v>
      </c>
      <c r="K90">
        <f t="shared" si="109"/>
        <v>0.10500000000000001</v>
      </c>
      <c r="L90">
        <f t="shared" si="97"/>
        <v>0.10500000000000001</v>
      </c>
      <c r="M90">
        <f t="shared" si="98"/>
        <v>0.10500000000000001</v>
      </c>
    </row>
    <row r="91" spans="1:13" x14ac:dyDescent="0.3">
      <c r="A91" t="str">
        <f t="shared" si="99"/>
        <v>NONEU_Balkan</v>
      </c>
      <c r="B91" t="str">
        <f t="shared" si="100"/>
        <v>Industry</v>
      </c>
      <c r="C91">
        <f t="shared" si="101"/>
        <v>0</v>
      </c>
      <c r="D91">
        <f t="shared" si="102"/>
        <v>0</v>
      </c>
      <c r="E91">
        <f t="shared" si="103"/>
        <v>0</v>
      </c>
      <c r="F91">
        <f t="shared" si="104"/>
        <v>0</v>
      </c>
      <c r="G91">
        <f t="shared" si="105"/>
        <v>0</v>
      </c>
      <c r="H91">
        <f t="shared" si="106"/>
        <v>0</v>
      </c>
      <c r="I91">
        <f t="shared" si="107"/>
        <v>0</v>
      </c>
      <c r="J91">
        <f t="shared" si="108"/>
        <v>0</v>
      </c>
      <c r="K91">
        <f t="shared" si="109"/>
        <v>0</v>
      </c>
      <c r="L91">
        <f t="shared" si="97"/>
        <v>0</v>
      </c>
      <c r="M91">
        <f t="shared" si="98"/>
        <v>0</v>
      </c>
    </row>
    <row r="92" spans="1:13" x14ac:dyDescent="0.3">
      <c r="A92" t="str">
        <f t="shared" si="99"/>
        <v>PL</v>
      </c>
      <c r="B92" t="str">
        <f t="shared" si="100"/>
        <v>Industry</v>
      </c>
      <c r="C92">
        <f t="shared" si="101"/>
        <v>0.15</v>
      </c>
      <c r="D92">
        <f t="shared" si="102"/>
        <v>0.15</v>
      </c>
      <c r="E92">
        <f t="shared" si="103"/>
        <v>0.15</v>
      </c>
      <c r="F92">
        <f t="shared" si="104"/>
        <v>0.15</v>
      </c>
      <c r="G92">
        <f t="shared" si="105"/>
        <v>0.14249999999999999</v>
      </c>
      <c r="H92">
        <f t="shared" si="106"/>
        <v>0.13499999999999998</v>
      </c>
      <c r="I92">
        <f t="shared" si="107"/>
        <v>0.12749999999999997</v>
      </c>
      <c r="J92">
        <f t="shared" si="108"/>
        <v>0.11999999999999997</v>
      </c>
      <c r="K92">
        <f t="shared" si="109"/>
        <v>0.11249999999999999</v>
      </c>
      <c r="L92">
        <f t="shared" si="97"/>
        <v>0.11249999999999999</v>
      </c>
      <c r="M92">
        <f t="shared" si="98"/>
        <v>0.11249999999999999</v>
      </c>
    </row>
    <row r="93" spans="1:13" x14ac:dyDescent="0.3">
      <c r="A93" t="str">
        <f t="shared" si="99"/>
        <v>PT</v>
      </c>
      <c r="B93" t="str">
        <f t="shared" si="100"/>
        <v>Industry</v>
      </c>
      <c r="C93">
        <f t="shared" si="101"/>
        <v>0</v>
      </c>
      <c r="D93">
        <f t="shared" si="102"/>
        <v>0</v>
      </c>
      <c r="E93">
        <f t="shared" si="103"/>
        <v>0</v>
      </c>
      <c r="F93">
        <f t="shared" si="104"/>
        <v>0</v>
      </c>
      <c r="G93">
        <f t="shared" si="105"/>
        <v>0</v>
      </c>
      <c r="H93">
        <f t="shared" si="106"/>
        <v>0</v>
      </c>
      <c r="I93">
        <f t="shared" si="107"/>
        <v>0</v>
      </c>
      <c r="J93">
        <f t="shared" si="108"/>
        <v>0</v>
      </c>
      <c r="K93">
        <f t="shared" si="109"/>
        <v>0</v>
      </c>
      <c r="L93">
        <f t="shared" si="97"/>
        <v>0</v>
      </c>
      <c r="M93">
        <f t="shared" si="98"/>
        <v>0</v>
      </c>
    </row>
    <row r="94" spans="1:13" x14ac:dyDescent="0.3">
      <c r="A94" t="str">
        <f t="shared" si="99"/>
        <v>RO</v>
      </c>
      <c r="B94" t="str">
        <f t="shared" si="100"/>
        <v>Industry</v>
      </c>
      <c r="C94">
        <f t="shared" si="101"/>
        <v>0</v>
      </c>
      <c r="D94">
        <f t="shared" si="102"/>
        <v>0</v>
      </c>
      <c r="E94">
        <f t="shared" si="103"/>
        <v>0</v>
      </c>
      <c r="F94">
        <f t="shared" si="104"/>
        <v>0</v>
      </c>
      <c r="G94">
        <f t="shared" si="105"/>
        <v>0</v>
      </c>
      <c r="H94">
        <f t="shared" si="106"/>
        <v>0</v>
      </c>
      <c r="I94">
        <f t="shared" si="107"/>
        <v>0</v>
      </c>
      <c r="J94">
        <f t="shared" si="108"/>
        <v>0</v>
      </c>
      <c r="K94">
        <f t="shared" si="109"/>
        <v>0</v>
      </c>
      <c r="L94">
        <f t="shared" si="97"/>
        <v>0</v>
      </c>
      <c r="M94">
        <f t="shared" si="98"/>
        <v>0</v>
      </c>
    </row>
    <row r="95" spans="1:13" x14ac:dyDescent="0.3">
      <c r="A95" t="str">
        <f t="shared" si="99"/>
        <v>SE</v>
      </c>
      <c r="B95" t="str">
        <f t="shared" si="100"/>
        <v>Industry</v>
      </c>
      <c r="C95">
        <f t="shared" si="101"/>
        <v>0.12</v>
      </c>
      <c r="D95">
        <f t="shared" si="102"/>
        <v>0.12</v>
      </c>
      <c r="E95">
        <f t="shared" si="103"/>
        <v>0.12</v>
      </c>
      <c r="F95">
        <f t="shared" si="104"/>
        <v>0.12</v>
      </c>
      <c r="G95">
        <f t="shared" si="105"/>
        <v>0.11399999999999999</v>
      </c>
      <c r="H95">
        <f t="shared" si="106"/>
        <v>0.10799999999999998</v>
      </c>
      <c r="I95">
        <f t="shared" si="107"/>
        <v>0.10199999999999998</v>
      </c>
      <c r="J95">
        <f t="shared" si="108"/>
        <v>9.5999999999999974E-2</v>
      </c>
      <c r="K95">
        <f t="shared" si="109"/>
        <v>0.09</v>
      </c>
      <c r="L95">
        <f t="shared" si="97"/>
        <v>0.09</v>
      </c>
      <c r="M95">
        <f t="shared" si="98"/>
        <v>0.09</v>
      </c>
    </row>
    <row r="96" spans="1:13" x14ac:dyDescent="0.3">
      <c r="A96" t="str">
        <f t="shared" si="99"/>
        <v>SI</v>
      </c>
      <c r="B96" t="str">
        <f t="shared" si="100"/>
        <v>Industry</v>
      </c>
      <c r="C96">
        <f t="shared" si="101"/>
        <v>0.19</v>
      </c>
      <c r="D96">
        <f t="shared" si="102"/>
        <v>0.19</v>
      </c>
      <c r="E96">
        <f t="shared" si="103"/>
        <v>0.19</v>
      </c>
      <c r="F96">
        <f t="shared" si="104"/>
        <v>0.19</v>
      </c>
      <c r="G96">
        <f t="shared" si="105"/>
        <v>0.18049999999999999</v>
      </c>
      <c r="H96">
        <f t="shared" si="106"/>
        <v>0.17099999999999999</v>
      </c>
      <c r="I96">
        <f t="shared" si="107"/>
        <v>0.16149999999999998</v>
      </c>
      <c r="J96">
        <f t="shared" si="108"/>
        <v>0.15199999999999997</v>
      </c>
      <c r="K96">
        <f t="shared" si="109"/>
        <v>0.14250000000000002</v>
      </c>
      <c r="L96">
        <f t="shared" si="97"/>
        <v>0.14250000000000002</v>
      </c>
      <c r="M96">
        <f t="shared" si="98"/>
        <v>0.14250000000000002</v>
      </c>
    </row>
    <row r="97" spans="1:13" x14ac:dyDescent="0.3">
      <c r="A97" t="str">
        <f t="shared" si="99"/>
        <v>SK</v>
      </c>
      <c r="B97" t="str">
        <f t="shared" si="100"/>
        <v>Industry</v>
      </c>
      <c r="C97">
        <f t="shared" si="101"/>
        <v>0.39</v>
      </c>
      <c r="D97">
        <f t="shared" si="102"/>
        <v>0.39</v>
      </c>
      <c r="E97">
        <f t="shared" si="103"/>
        <v>0.39</v>
      </c>
      <c r="F97">
        <f t="shared" si="104"/>
        <v>0.39</v>
      </c>
      <c r="G97">
        <f t="shared" si="105"/>
        <v>0.3705</v>
      </c>
      <c r="H97">
        <f t="shared" si="106"/>
        <v>0.35099999999999998</v>
      </c>
      <c r="I97">
        <f t="shared" si="107"/>
        <v>0.33149999999999996</v>
      </c>
      <c r="J97">
        <f t="shared" si="108"/>
        <v>0.31199999999999994</v>
      </c>
      <c r="K97">
        <f t="shared" si="109"/>
        <v>0.29249999999999998</v>
      </c>
      <c r="L97">
        <f t="shared" si="97"/>
        <v>0.29249999999999998</v>
      </c>
      <c r="M97">
        <f t="shared" si="98"/>
        <v>0.29249999999999998</v>
      </c>
    </row>
    <row r="98" spans="1:13" x14ac:dyDescent="0.3">
      <c r="A98" t="str">
        <f t="shared" si="99"/>
        <v>TR</v>
      </c>
      <c r="B98" t="str">
        <f t="shared" si="100"/>
        <v>Industry</v>
      </c>
      <c r="C98">
        <f t="shared" si="101"/>
        <v>0</v>
      </c>
      <c r="D98">
        <f t="shared" si="102"/>
        <v>0</v>
      </c>
      <c r="E98">
        <f t="shared" si="103"/>
        <v>0</v>
      </c>
      <c r="F98">
        <f t="shared" si="104"/>
        <v>0</v>
      </c>
      <c r="G98">
        <f t="shared" si="105"/>
        <v>0</v>
      </c>
      <c r="H98">
        <f t="shared" si="106"/>
        <v>0</v>
      </c>
      <c r="I98">
        <f t="shared" si="107"/>
        <v>0</v>
      </c>
      <c r="J98">
        <f t="shared" si="108"/>
        <v>0</v>
      </c>
      <c r="K98">
        <f t="shared" si="109"/>
        <v>0</v>
      </c>
      <c r="L98">
        <f t="shared" si="97"/>
        <v>0</v>
      </c>
      <c r="M98">
        <f t="shared" si="98"/>
        <v>0</v>
      </c>
    </row>
    <row r="99" spans="1:13" x14ac:dyDescent="0.3">
      <c r="A99" t="str">
        <f t="shared" si="99"/>
        <v>UK</v>
      </c>
      <c r="B99" t="str">
        <f t="shared" si="100"/>
        <v>Industry</v>
      </c>
      <c r="C99">
        <f t="shared" si="101"/>
        <v>0</v>
      </c>
      <c r="D99">
        <f t="shared" si="102"/>
        <v>0</v>
      </c>
      <c r="E99">
        <f t="shared" si="103"/>
        <v>0</v>
      </c>
      <c r="F99">
        <f t="shared" si="104"/>
        <v>0</v>
      </c>
      <c r="G99">
        <f t="shared" si="105"/>
        <v>0</v>
      </c>
      <c r="H99">
        <f t="shared" si="106"/>
        <v>0</v>
      </c>
      <c r="I99">
        <f t="shared" si="107"/>
        <v>0</v>
      </c>
      <c r="J99">
        <f t="shared" si="108"/>
        <v>0</v>
      </c>
      <c r="K99">
        <f t="shared" si="109"/>
        <v>0</v>
      </c>
      <c r="L99">
        <f t="shared" si="97"/>
        <v>0</v>
      </c>
      <c r="M99">
        <f t="shared" si="98"/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617B-935C-4313-B1EE-77D69467E269}">
  <dimension ref="A1:D661"/>
  <sheetViews>
    <sheetView tabSelected="1" workbookViewId="0">
      <selection activeCell="J18" sqref="J18"/>
    </sheetView>
  </sheetViews>
  <sheetFormatPr defaultRowHeight="14.4" x14ac:dyDescent="0.3"/>
  <cols>
    <col min="1" max="1" width="13.5546875" bestFit="1" customWidth="1"/>
    <col min="2" max="2" width="17.33203125" bestFit="1" customWidth="1"/>
    <col min="3" max="3" width="6.88671875" bestFit="1" customWidth="1"/>
    <col min="4" max="4" width="7.88671875" bestFit="1" customWidth="1"/>
  </cols>
  <sheetData>
    <row r="1" spans="1:4" x14ac:dyDescent="0.3">
      <c r="A1" t="s">
        <v>0</v>
      </c>
      <c r="B1" t="s">
        <v>47</v>
      </c>
      <c r="C1" t="s">
        <v>50</v>
      </c>
      <c r="D1" t="s">
        <v>51</v>
      </c>
    </row>
    <row r="2" spans="1:4" x14ac:dyDescent="0.3">
      <c r="A2" s="1" t="s">
        <v>3</v>
      </c>
      <c r="B2" s="1" t="s">
        <v>48</v>
      </c>
      <c r="C2" s="1" t="s">
        <v>36</v>
      </c>
      <c r="D2">
        <v>0.84</v>
      </c>
    </row>
    <row r="3" spans="1:4" x14ac:dyDescent="0.3">
      <c r="A3" s="1" t="s">
        <v>3</v>
      </c>
      <c r="B3" s="1" t="s">
        <v>48</v>
      </c>
      <c r="C3" s="1" t="s">
        <v>37</v>
      </c>
      <c r="D3">
        <v>0.84</v>
      </c>
    </row>
    <row r="4" spans="1:4" x14ac:dyDescent="0.3">
      <c r="A4" s="1" t="s">
        <v>3</v>
      </c>
      <c r="B4" s="1" t="s">
        <v>48</v>
      </c>
      <c r="C4" s="1" t="s">
        <v>38</v>
      </c>
      <c r="D4">
        <v>0.84</v>
      </c>
    </row>
    <row r="5" spans="1:4" x14ac:dyDescent="0.3">
      <c r="A5" s="1" t="s">
        <v>3</v>
      </c>
      <c r="B5" s="1" t="s">
        <v>48</v>
      </c>
      <c r="C5" s="1" t="s">
        <v>39</v>
      </c>
      <c r="D5">
        <v>0.84</v>
      </c>
    </row>
    <row r="6" spans="1:4" x14ac:dyDescent="0.3">
      <c r="A6" s="1" t="s">
        <v>3</v>
      </c>
      <c r="B6" s="1" t="s">
        <v>48</v>
      </c>
      <c r="C6" s="1" t="s">
        <v>40</v>
      </c>
      <c r="D6">
        <v>0.8</v>
      </c>
    </row>
    <row r="7" spans="1:4" x14ac:dyDescent="0.3">
      <c r="A7" s="1" t="s">
        <v>3</v>
      </c>
      <c r="B7" s="1" t="s">
        <v>48</v>
      </c>
      <c r="C7" s="1" t="s">
        <v>41</v>
      </c>
      <c r="D7">
        <v>0.76</v>
      </c>
    </row>
    <row r="8" spans="1:4" x14ac:dyDescent="0.3">
      <c r="A8" s="1" t="s">
        <v>3</v>
      </c>
      <c r="B8" s="1" t="s">
        <v>48</v>
      </c>
      <c r="C8" s="1" t="s">
        <v>42</v>
      </c>
      <c r="D8">
        <v>0.71</v>
      </c>
    </row>
    <row r="9" spans="1:4" x14ac:dyDescent="0.3">
      <c r="A9" s="1" t="s">
        <v>3</v>
      </c>
      <c r="B9" s="1" t="s">
        <v>48</v>
      </c>
      <c r="C9" s="1" t="s">
        <v>43</v>
      </c>
      <c r="D9">
        <v>0.67</v>
      </c>
    </row>
    <row r="10" spans="1:4" x14ac:dyDescent="0.3">
      <c r="A10" s="1" t="s">
        <v>3</v>
      </c>
      <c r="B10" s="1" t="s">
        <v>48</v>
      </c>
      <c r="C10" s="1" t="s">
        <v>44</v>
      </c>
      <c r="D10">
        <v>0.63</v>
      </c>
    </row>
    <row r="11" spans="1:4" x14ac:dyDescent="0.3">
      <c r="A11" s="1" t="s">
        <v>3</v>
      </c>
      <c r="B11" s="1" t="s">
        <v>48</v>
      </c>
      <c r="C11" s="1" t="s">
        <v>45</v>
      </c>
      <c r="D11">
        <v>0.63</v>
      </c>
    </row>
    <row r="12" spans="1:4" x14ac:dyDescent="0.3">
      <c r="A12" s="1" t="s">
        <v>3</v>
      </c>
      <c r="B12" s="1" t="s">
        <v>48</v>
      </c>
      <c r="C12" s="1" t="s">
        <v>46</v>
      </c>
      <c r="D12">
        <v>0.63</v>
      </c>
    </row>
    <row r="13" spans="1:4" x14ac:dyDescent="0.3">
      <c r="A13" s="1" t="s">
        <v>4</v>
      </c>
      <c r="B13" s="1" t="s">
        <v>48</v>
      </c>
      <c r="C13" s="1" t="s">
        <v>36</v>
      </c>
      <c r="D13">
        <v>0.73</v>
      </c>
    </row>
    <row r="14" spans="1:4" x14ac:dyDescent="0.3">
      <c r="A14" s="1" t="s">
        <v>4</v>
      </c>
      <c r="B14" s="1" t="s">
        <v>48</v>
      </c>
      <c r="C14" s="1" t="s">
        <v>37</v>
      </c>
      <c r="D14">
        <v>0.73</v>
      </c>
    </row>
    <row r="15" spans="1:4" x14ac:dyDescent="0.3">
      <c r="A15" s="1" t="s">
        <v>4</v>
      </c>
      <c r="B15" s="1" t="s">
        <v>48</v>
      </c>
      <c r="C15" s="1" t="s">
        <v>38</v>
      </c>
      <c r="D15">
        <v>0.73</v>
      </c>
    </row>
    <row r="16" spans="1:4" x14ac:dyDescent="0.3">
      <c r="A16" s="1" t="s">
        <v>4</v>
      </c>
      <c r="B16" s="1" t="s">
        <v>48</v>
      </c>
      <c r="C16" s="1" t="s">
        <v>39</v>
      </c>
      <c r="D16">
        <v>0.73</v>
      </c>
    </row>
    <row r="17" spans="1:4" x14ac:dyDescent="0.3">
      <c r="A17" s="1" t="s">
        <v>4</v>
      </c>
      <c r="B17" s="1" t="s">
        <v>48</v>
      </c>
      <c r="C17" s="1" t="s">
        <v>40</v>
      </c>
      <c r="D17">
        <v>0.69</v>
      </c>
    </row>
    <row r="18" spans="1:4" x14ac:dyDescent="0.3">
      <c r="A18" s="1" t="s">
        <v>4</v>
      </c>
      <c r="B18" s="1" t="s">
        <v>48</v>
      </c>
      <c r="C18" s="1" t="s">
        <v>41</v>
      </c>
      <c r="D18">
        <v>0.66</v>
      </c>
    </row>
    <row r="19" spans="1:4" x14ac:dyDescent="0.3">
      <c r="A19" s="1" t="s">
        <v>4</v>
      </c>
      <c r="B19" s="1" t="s">
        <v>48</v>
      </c>
      <c r="C19" s="1" t="s">
        <v>42</v>
      </c>
      <c r="D19">
        <v>0.62</v>
      </c>
    </row>
    <row r="20" spans="1:4" x14ac:dyDescent="0.3">
      <c r="A20" s="1" t="s">
        <v>4</v>
      </c>
      <c r="B20" s="1" t="s">
        <v>48</v>
      </c>
      <c r="C20" s="1" t="s">
        <v>43</v>
      </c>
      <c r="D20">
        <v>0.57999999999999996</v>
      </c>
    </row>
    <row r="21" spans="1:4" x14ac:dyDescent="0.3">
      <c r="A21" s="1" t="s">
        <v>4</v>
      </c>
      <c r="B21" s="1" t="s">
        <v>48</v>
      </c>
      <c r="C21" s="1" t="s">
        <v>44</v>
      </c>
      <c r="D21">
        <v>0.55000000000000004</v>
      </c>
    </row>
    <row r="22" spans="1:4" x14ac:dyDescent="0.3">
      <c r="A22" s="1" t="s">
        <v>4</v>
      </c>
      <c r="B22" s="1" t="s">
        <v>48</v>
      </c>
      <c r="C22" s="1" t="s">
        <v>45</v>
      </c>
      <c r="D22">
        <v>0.55000000000000004</v>
      </c>
    </row>
    <row r="23" spans="1:4" x14ac:dyDescent="0.3">
      <c r="A23" s="1" t="s">
        <v>4</v>
      </c>
      <c r="B23" s="1" t="s">
        <v>48</v>
      </c>
      <c r="C23" s="1" t="s">
        <v>46</v>
      </c>
      <c r="D23">
        <v>0.55000000000000004</v>
      </c>
    </row>
    <row r="24" spans="1:4" x14ac:dyDescent="0.3">
      <c r="A24" s="1" t="s">
        <v>5</v>
      </c>
      <c r="B24" s="1" t="s">
        <v>48</v>
      </c>
      <c r="C24" s="1" t="s">
        <v>36</v>
      </c>
      <c r="D24">
        <v>0.89</v>
      </c>
    </row>
    <row r="25" spans="1:4" x14ac:dyDescent="0.3">
      <c r="A25" s="1" t="s">
        <v>5</v>
      </c>
      <c r="B25" s="1" t="s">
        <v>48</v>
      </c>
      <c r="C25" s="1" t="s">
        <v>37</v>
      </c>
      <c r="D25">
        <v>0.89</v>
      </c>
    </row>
    <row r="26" spans="1:4" x14ac:dyDescent="0.3">
      <c r="A26" s="1" t="s">
        <v>5</v>
      </c>
      <c r="B26" s="1" t="s">
        <v>48</v>
      </c>
      <c r="C26" s="1" t="s">
        <v>38</v>
      </c>
      <c r="D26">
        <v>0.89</v>
      </c>
    </row>
    <row r="27" spans="1:4" x14ac:dyDescent="0.3">
      <c r="A27" s="1" t="s">
        <v>5</v>
      </c>
      <c r="B27" s="1" t="s">
        <v>48</v>
      </c>
      <c r="C27" s="1" t="s">
        <v>39</v>
      </c>
      <c r="D27">
        <v>0.89</v>
      </c>
    </row>
    <row r="28" spans="1:4" x14ac:dyDescent="0.3">
      <c r="A28" s="1" t="s">
        <v>5</v>
      </c>
      <c r="B28" s="1" t="s">
        <v>48</v>
      </c>
      <c r="C28" s="1" t="s">
        <v>40</v>
      </c>
      <c r="D28">
        <v>0.85</v>
      </c>
    </row>
    <row r="29" spans="1:4" x14ac:dyDescent="0.3">
      <c r="A29" s="1" t="s">
        <v>5</v>
      </c>
      <c r="B29" s="1" t="s">
        <v>48</v>
      </c>
      <c r="C29" s="1" t="s">
        <v>41</v>
      </c>
      <c r="D29">
        <v>0.8</v>
      </c>
    </row>
    <row r="30" spans="1:4" x14ac:dyDescent="0.3">
      <c r="A30" s="1" t="s">
        <v>5</v>
      </c>
      <c r="B30" s="1" t="s">
        <v>48</v>
      </c>
      <c r="C30" s="1" t="s">
        <v>42</v>
      </c>
      <c r="D30">
        <v>0.76</v>
      </c>
    </row>
    <row r="31" spans="1:4" x14ac:dyDescent="0.3">
      <c r="A31" s="1" t="s">
        <v>5</v>
      </c>
      <c r="B31" s="1" t="s">
        <v>48</v>
      </c>
      <c r="C31" s="1" t="s">
        <v>43</v>
      </c>
      <c r="D31">
        <v>0.71</v>
      </c>
    </row>
    <row r="32" spans="1:4" x14ac:dyDescent="0.3">
      <c r="A32" s="1" t="s">
        <v>5</v>
      </c>
      <c r="B32" s="1" t="s">
        <v>48</v>
      </c>
      <c r="C32" s="1" t="s">
        <v>44</v>
      </c>
      <c r="D32">
        <v>0.67</v>
      </c>
    </row>
    <row r="33" spans="1:4" x14ac:dyDescent="0.3">
      <c r="A33" s="1" t="s">
        <v>5</v>
      </c>
      <c r="B33" s="1" t="s">
        <v>48</v>
      </c>
      <c r="C33" s="1" t="s">
        <v>45</v>
      </c>
      <c r="D33">
        <v>0.67</v>
      </c>
    </row>
    <row r="34" spans="1:4" x14ac:dyDescent="0.3">
      <c r="A34" s="1" t="s">
        <v>5</v>
      </c>
      <c r="B34" s="1" t="s">
        <v>48</v>
      </c>
      <c r="C34" s="1" t="s">
        <v>46</v>
      </c>
      <c r="D34">
        <v>0.67</v>
      </c>
    </row>
    <row r="35" spans="1:4" x14ac:dyDescent="0.3">
      <c r="A35" s="1" t="s">
        <v>6</v>
      </c>
      <c r="B35" s="1" t="s">
        <v>48</v>
      </c>
      <c r="C35" s="1" t="s">
        <v>36</v>
      </c>
      <c r="D35">
        <v>0</v>
      </c>
    </row>
    <row r="36" spans="1:4" x14ac:dyDescent="0.3">
      <c r="A36" s="1" t="s">
        <v>6</v>
      </c>
      <c r="B36" s="1" t="s">
        <v>48</v>
      </c>
      <c r="C36" s="1" t="s">
        <v>37</v>
      </c>
      <c r="D36">
        <v>0</v>
      </c>
    </row>
    <row r="37" spans="1:4" x14ac:dyDescent="0.3">
      <c r="A37" s="1" t="s">
        <v>6</v>
      </c>
      <c r="B37" s="1" t="s">
        <v>48</v>
      </c>
      <c r="C37" s="1" t="s">
        <v>38</v>
      </c>
      <c r="D37">
        <v>0</v>
      </c>
    </row>
    <row r="38" spans="1:4" x14ac:dyDescent="0.3">
      <c r="A38" s="1" t="s">
        <v>6</v>
      </c>
      <c r="B38" s="1" t="s">
        <v>48</v>
      </c>
      <c r="C38" s="1" t="s">
        <v>39</v>
      </c>
      <c r="D38">
        <v>0</v>
      </c>
    </row>
    <row r="39" spans="1:4" x14ac:dyDescent="0.3">
      <c r="A39" s="1" t="s">
        <v>6</v>
      </c>
      <c r="B39" s="1" t="s">
        <v>48</v>
      </c>
      <c r="C39" s="1" t="s">
        <v>40</v>
      </c>
      <c r="D39">
        <v>0</v>
      </c>
    </row>
    <row r="40" spans="1:4" x14ac:dyDescent="0.3">
      <c r="A40" s="1" t="s">
        <v>6</v>
      </c>
      <c r="B40" s="1" t="s">
        <v>48</v>
      </c>
      <c r="C40" s="1" t="s">
        <v>41</v>
      </c>
      <c r="D40">
        <v>0</v>
      </c>
    </row>
    <row r="41" spans="1:4" x14ac:dyDescent="0.3">
      <c r="A41" s="1" t="s">
        <v>6</v>
      </c>
      <c r="B41" s="1" t="s">
        <v>48</v>
      </c>
      <c r="C41" s="1" t="s">
        <v>42</v>
      </c>
      <c r="D41">
        <v>0</v>
      </c>
    </row>
    <row r="42" spans="1:4" x14ac:dyDescent="0.3">
      <c r="A42" s="1" t="s">
        <v>6</v>
      </c>
      <c r="B42" s="1" t="s">
        <v>48</v>
      </c>
      <c r="C42" s="1" t="s">
        <v>43</v>
      </c>
      <c r="D42">
        <v>0</v>
      </c>
    </row>
    <row r="43" spans="1:4" x14ac:dyDescent="0.3">
      <c r="A43" s="1" t="s">
        <v>6</v>
      </c>
      <c r="B43" s="1" t="s">
        <v>48</v>
      </c>
      <c r="C43" s="1" t="s">
        <v>44</v>
      </c>
      <c r="D43">
        <v>0</v>
      </c>
    </row>
    <row r="44" spans="1:4" x14ac:dyDescent="0.3">
      <c r="A44" s="1" t="s">
        <v>6</v>
      </c>
      <c r="B44" s="1" t="s">
        <v>48</v>
      </c>
      <c r="C44" s="1" t="s">
        <v>45</v>
      </c>
      <c r="D44">
        <v>0</v>
      </c>
    </row>
    <row r="45" spans="1:4" x14ac:dyDescent="0.3">
      <c r="A45" s="1" t="s">
        <v>6</v>
      </c>
      <c r="B45" s="1" t="s">
        <v>48</v>
      </c>
      <c r="C45" s="1" t="s">
        <v>46</v>
      </c>
      <c r="D45">
        <v>0</v>
      </c>
    </row>
    <row r="46" spans="1:4" x14ac:dyDescent="0.3">
      <c r="A46" s="1" t="s">
        <v>7</v>
      </c>
      <c r="B46" s="1" t="s">
        <v>48</v>
      </c>
      <c r="C46" s="1" t="s">
        <v>36</v>
      </c>
      <c r="D46">
        <v>0.66</v>
      </c>
    </row>
    <row r="47" spans="1:4" x14ac:dyDescent="0.3">
      <c r="A47" s="1" t="s">
        <v>7</v>
      </c>
      <c r="B47" s="1" t="s">
        <v>48</v>
      </c>
      <c r="C47" s="1" t="s">
        <v>37</v>
      </c>
      <c r="D47">
        <v>0.66</v>
      </c>
    </row>
    <row r="48" spans="1:4" x14ac:dyDescent="0.3">
      <c r="A48" s="1" t="s">
        <v>7</v>
      </c>
      <c r="B48" s="1" t="s">
        <v>48</v>
      </c>
      <c r="C48" s="1" t="s">
        <v>38</v>
      </c>
      <c r="D48">
        <v>0.66</v>
      </c>
    </row>
    <row r="49" spans="1:4" x14ac:dyDescent="0.3">
      <c r="A49" s="1" t="s">
        <v>7</v>
      </c>
      <c r="B49" s="1" t="s">
        <v>48</v>
      </c>
      <c r="C49" s="1" t="s">
        <v>39</v>
      </c>
      <c r="D49">
        <v>0.66</v>
      </c>
    </row>
    <row r="50" spans="1:4" x14ac:dyDescent="0.3">
      <c r="A50" s="1" t="s">
        <v>7</v>
      </c>
      <c r="B50" s="1" t="s">
        <v>48</v>
      </c>
      <c r="C50" s="1" t="s">
        <v>40</v>
      </c>
      <c r="D50">
        <v>0.63</v>
      </c>
    </row>
    <row r="51" spans="1:4" x14ac:dyDescent="0.3">
      <c r="A51" s="1" t="s">
        <v>7</v>
      </c>
      <c r="B51" s="1" t="s">
        <v>48</v>
      </c>
      <c r="C51" s="1" t="s">
        <v>41</v>
      </c>
      <c r="D51">
        <v>0.59</v>
      </c>
    </row>
    <row r="52" spans="1:4" x14ac:dyDescent="0.3">
      <c r="A52" s="1" t="s">
        <v>7</v>
      </c>
      <c r="B52" s="1" t="s">
        <v>48</v>
      </c>
      <c r="C52" s="1" t="s">
        <v>42</v>
      </c>
      <c r="D52">
        <v>0.56000000000000005</v>
      </c>
    </row>
    <row r="53" spans="1:4" x14ac:dyDescent="0.3">
      <c r="A53" s="1" t="s">
        <v>7</v>
      </c>
      <c r="B53" s="1" t="s">
        <v>48</v>
      </c>
      <c r="C53" s="1" t="s">
        <v>43</v>
      </c>
      <c r="D53">
        <v>0.53</v>
      </c>
    </row>
    <row r="54" spans="1:4" x14ac:dyDescent="0.3">
      <c r="A54" s="1" t="s">
        <v>7</v>
      </c>
      <c r="B54" s="1" t="s">
        <v>48</v>
      </c>
      <c r="C54" s="1" t="s">
        <v>44</v>
      </c>
      <c r="D54">
        <v>0.5</v>
      </c>
    </row>
    <row r="55" spans="1:4" x14ac:dyDescent="0.3">
      <c r="A55" s="1" t="s">
        <v>7</v>
      </c>
      <c r="B55" s="1" t="s">
        <v>48</v>
      </c>
      <c r="C55" s="1" t="s">
        <v>45</v>
      </c>
      <c r="D55">
        <v>0.5</v>
      </c>
    </row>
    <row r="56" spans="1:4" x14ac:dyDescent="0.3">
      <c r="A56" s="1" t="s">
        <v>7</v>
      </c>
      <c r="B56" s="1" t="s">
        <v>48</v>
      </c>
      <c r="C56" s="1" t="s">
        <v>46</v>
      </c>
      <c r="D56">
        <v>0.5</v>
      </c>
    </row>
    <row r="57" spans="1:4" x14ac:dyDescent="0.3">
      <c r="A57" s="1" t="s">
        <v>8</v>
      </c>
      <c r="B57" s="1" t="s">
        <v>48</v>
      </c>
      <c r="C57" s="1" t="s">
        <v>36</v>
      </c>
      <c r="D57">
        <v>0.78</v>
      </c>
    </row>
    <row r="58" spans="1:4" x14ac:dyDescent="0.3">
      <c r="A58" s="1" t="s">
        <v>8</v>
      </c>
      <c r="B58" s="1" t="s">
        <v>48</v>
      </c>
      <c r="C58" s="1" t="s">
        <v>37</v>
      </c>
      <c r="D58">
        <v>0.78</v>
      </c>
    </row>
    <row r="59" spans="1:4" x14ac:dyDescent="0.3">
      <c r="A59" s="1" t="s">
        <v>8</v>
      </c>
      <c r="B59" s="1" t="s">
        <v>48</v>
      </c>
      <c r="C59" s="1" t="s">
        <v>38</v>
      </c>
      <c r="D59">
        <v>0.78</v>
      </c>
    </row>
    <row r="60" spans="1:4" x14ac:dyDescent="0.3">
      <c r="A60" s="1" t="s">
        <v>8</v>
      </c>
      <c r="B60" s="1" t="s">
        <v>48</v>
      </c>
      <c r="C60" s="1" t="s">
        <v>39</v>
      </c>
      <c r="D60">
        <v>0.78</v>
      </c>
    </row>
    <row r="61" spans="1:4" x14ac:dyDescent="0.3">
      <c r="A61" s="1" t="s">
        <v>8</v>
      </c>
      <c r="B61" s="1" t="s">
        <v>48</v>
      </c>
      <c r="C61" s="1" t="s">
        <v>40</v>
      </c>
      <c r="D61">
        <v>0.74</v>
      </c>
    </row>
    <row r="62" spans="1:4" x14ac:dyDescent="0.3">
      <c r="A62" s="1" t="s">
        <v>8</v>
      </c>
      <c r="B62" s="1" t="s">
        <v>48</v>
      </c>
      <c r="C62" s="1" t="s">
        <v>41</v>
      </c>
      <c r="D62">
        <v>0.7</v>
      </c>
    </row>
    <row r="63" spans="1:4" x14ac:dyDescent="0.3">
      <c r="A63" s="1" t="s">
        <v>8</v>
      </c>
      <c r="B63" s="1" t="s">
        <v>48</v>
      </c>
      <c r="C63" s="1" t="s">
        <v>42</v>
      </c>
      <c r="D63">
        <v>0.66</v>
      </c>
    </row>
    <row r="64" spans="1:4" x14ac:dyDescent="0.3">
      <c r="A64" s="1" t="s">
        <v>8</v>
      </c>
      <c r="B64" s="1" t="s">
        <v>48</v>
      </c>
      <c r="C64" s="1" t="s">
        <v>43</v>
      </c>
      <c r="D64">
        <v>0.62</v>
      </c>
    </row>
    <row r="65" spans="1:4" x14ac:dyDescent="0.3">
      <c r="A65" s="1" t="s">
        <v>8</v>
      </c>
      <c r="B65" s="1" t="s">
        <v>48</v>
      </c>
      <c r="C65" s="1" t="s">
        <v>44</v>
      </c>
      <c r="D65">
        <v>0.59</v>
      </c>
    </row>
    <row r="66" spans="1:4" x14ac:dyDescent="0.3">
      <c r="A66" s="1" t="s">
        <v>8</v>
      </c>
      <c r="B66" s="1" t="s">
        <v>48</v>
      </c>
      <c r="C66" s="1" t="s">
        <v>45</v>
      </c>
      <c r="D66">
        <v>0.59</v>
      </c>
    </row>
    <row r="67" spans="1:4" x14ac:dyDescent="0.3">
      <c r="A67" s="1" t="s">
        <v>8</v>
      </c>
      <c r="B67" s="1" t="s">
        <v>48</v>
      </c>
      <c r="C67" s="1" t="s">
        <v>46</v>
      </c>
      <c r="D67">
        <v>0.59</v>
      </c>
    </row>
    <row r="68" spans="1:4" x14ac:dyDescent="0.3">
      <c r="A68" s="1" t="s">
        <v>9</v>
      </c>
      <c r="B68" s="1" t="s">
        <v>48</v>
      </c>
      <c r="C68" s="1" t="s">
        <v>36</v>
      </c>
      <c r="D68">
        <v>0.95</v>
      </c>
    </row>
    <row r="69" spans="1:4" x14ac:dyDescent="0.3">
      <c r="A69" s="1" t="s">
        <v>9</v>
      </c>
      <c r="B69" s="1" t="s">
        <v>48</v>
      </c>
      <c r="C69" s="1" t="s">
        <v>37</v>
      </c>
      <c r="D69">
        <v>0.95</v>
      </c>
    </row>
    <row r="70" spans="1:4" x14ac:dyDescent="0.3">
      <c r="A70" s="1" t="s">
        <v>9</v>
      </c>
      <c r="B70" s="1" t="s">
        <v>48</v>
      </c>
      <c r="C70" s="1" t="s">
        <v>38</v>
      </c>
      <c r="D70">
        <v>0.95</v>
      </c>
    </row>
    <row r="71" spans="1:4" x14ac:dyDescent="0.3">
      <c r="A71" s="1" t="s">
        <v>9</v>
      </c>
      <c r="B71" s="1" t="s">
        <v>48</v>
      </c>
      <c r="C71" s="1" t="s">
        <v>39</v>
      </c>
      <c r="D71">
        <v>0.95</v>
      </c>
    </row>
    <row r="72" spans="1:4" x14ac:dyDescent="0.3">
      <c r="A72" s="1" t="s">
        <v>9</v>
      </c>
      <c r="B72" s="1" t="s">
        <v>48</v>
      </c>
      <c r="C72" s="1" t="s">
        <v>40</v>
      </c>
      <c r="D72">
        <v>0.9</v>
      </c>
    </row>
    <row r="73" spans="1:4" x14ac:dyDescent="0.3">
      <c r="A73" s="1" t="s">
        <v>9</v>
      </c>
      <c r="B73" s="1" t="s">
        <v>48</v>
      </c>
      <c r="C73" s="1" t="s">
        <v>41</v>
      </c>
      <c r="D73">
        <v>0.86</v>
      </c>
    </row>
    <row r="74" spans="1:4" x14ac:dyDescent="0.3">
      <c r="A74" s="1" t="s">
        <v>9</v>
      </c>
      <c r="B74" s="1" t="s">
        <v>48</v>
      </c>
      <c r="C74" s="1" t="s">
        <v>42</v>
      </c>
      <c r="D74">
        <v>0.81</v>
      </c>
    </row>
    <row r="75" spans="1:4" x14ac:dyDescent="0.3">
      <c r="A75" s="1" t="s">
        <v>9</v>
      </c>
      <c r="B75" s="1" t="s">
        <v>48</v>
      </c>
      <c r="C75" s="1" t="s">
        <v>43</v>
      </c>
      <c r="D75">
        <v>0.76</v>
      </c>
    </row>
    <row r="76" spans="1:4" x14ac:dyDescent="0.3">
      <c r="A76" s="1" t="s">
        <v>9</v>
      </c>
      <c r="B76" s="1" t="s">
        <v>48</v>
      </c>
      <c r="C76" s="1" t="s">
        <v>44</v>
      </c>
      <c r="D76">
        <v>0.71</v>
      </c>
    </row>
    <row r="77" spans="1:4" x14ac:dyDescent="0.3">
      <c r="A77" s="1" t="s">
        <v>9</v>
      </c>
      <c r="B77" s="1" t="s">
        <v>48</v>
      </c>
      <c r="C77" s="1" t="s">
        <v>45</v>
      </c>
      <c r="D77">
        <v>0.71</v>
      </c>
    </row>
    <row r="78" spans="1:4" x14ac:dyDescent="0.3">
      <c r="A78" s="1" t="s">
        <v>9</v>
      </c>
      <c r="B78" s="1" t="s">
        <v>48</v>
      </c>
      <c r="C78" s="1" t="s">
        <v>46</v>
      </c>
      <c r="D78">
        <v>0.71</v>
      </c>
    </row>
    <row r="79" spans="1:4" x14ac:dyDescent="0.3">
      <c r="A79" s="1" t="s">
        <v>10</v>
      </c>
      <c r="B79" s="1" t="s">
        <v>48</v>
      </c>
      <c r="C79" s="1" t="s">
        <v>36</v>
      </c>
      <c r="D79">
        <v>0.92</v>
      </c>
    </row>
    <row r="80" spans="1:4" x14ac:dyDescent="0.3">
      <c r="A80" s="1" t="s">
        <v>10</v>
      </c>
      <c r="B80" s="1" t="s">
        <v>48</v>
      </c>
      <c r="C80" s="1" t="s">
        <v>37</v>
      </c>
      <c r="D80">
        <v>0.92</v>
      </c>
    </row>
    <row r="81" spans="1:4" x14ac:dyDescent="0.3">
      <c r="A81" s="1" t="s">
        <v>10</v>
      </c>
      <c r="B81" s="1" t="s">
        <v>48</v>
      </c>
      <c r="C81" s="1" t="s">
        <v>38</v>
      </c>
      <c r="D81">
        <v>0.92</v>
      </c>
    </row>
    <row r="82" spans="1:4" x14ac:dyDescent="0.3">
      <c r="A82" s="1" t="s">
        <v>10</v>
      </c>
      <c r="B82" s="1" t="s">
        <v>48</v>
      </c>
      <c r="C82" s="1" t="s">
        <v>39</v>
      </c>
      <c r="D82">
        <v>0.92</v>
      </c>
    </row>
    <row r="83" spans="1:4" x14ac:dyDescent="0.3">
      <c r="A83" s="1" t="s">
        <v>10</v>
      </c>
      <c r="B83" s="1" t="s">
        <v>48</v>
      </c>
      <c r="C83" s="1" t="s">
        <v>40</v>
      </c>
      <c r="D83">
        <v>0.87</v>
      </c>
    </row>
    <row r="84" spans="1:4" x14ac:dyDescent="0.3">
      <c r="A84" s="1" t="s">
        <v>10</v>
      </c>
      <c r="B84" s="1" t="s">
        <v>48</v>
      </c>
      <c r="C84" s="1" t="s">
        <v>41</v>
      </c>
      <c r="D84">
        <v>0.83</v>
      </c>
    </row>
    <row r="85" spans="1:4" x14ac:dyDescent="0.3">
      <c r="A85" s="1" t="s">
        <v>10</v>
      </c>
      <c r="B85" s="1" t="s">
        <v>48</v>
      </c>
      <c r="C85" s="1" t="s">
        <v>42</v>
      </c>
      <c r="D85">
        <v>0.78</v>
      </c>
    </row>
    <row r="86" spans="1:4" x14ac:dyDescent="0.3">
      <c r="A86" s="1" t="s">
        <v>10</v>
      </c>
      <c r="B86" s="1" t="s">
        <v>48</v>
      </c>
      <c r="C86" s="1" t="s">
        <v>43</v>
      </c>
      <c r="D86">
        <v>0.74</v>
      </c>
    </row>
    <row r="87" spans="1:4" x14ac:dyDescent="0.3">
      <c r="A87" s="1" t="s">
        <v>10</v>
      </c>
      <c r="B87" s="1" t="s">
        <v>48</v>
      </c>
      <c r="C87" s="1" t="s">
        <v>44</v>
      </c>
      <c r="D87">
        <v>0.69</v>
      </c>
    </row>
    <row r="88" spans="1:4" x14ac:dyDescent="0.3">
      <c r="A88" s="1" t="s">
        <v>10</v>
      </c>
      <c r="B88" s="1" t="s">
        <v>48</v>
      </c>
      <c r="C88" s="1" t="s">
        <v>45</v>
      </c>
      <c r="D88">
        <v>0.69</v>
      </c>
    </row>
    <row r="89" spans="1:4" x14ac:dyDescent="0.3">
      <c r="A89" s="1" t="s">
        <v>10</v>
      </c>
      <c r="B89" s="1" t="s">
        <v>48</v>
      </c>
      <c r="C89" s="1" t="s">
        <v>46</v>
      </c>
      <c r="D89">
        <v>0.69</v>
      </c>
    </row>
    <row r="90" spans="1:4" x14ac:dyDescent="0.3">
      <c r="A90" s="1" t="s">
        <v>11</v>
      </c>
      <c r="B90" s="1" t="s">
        <v>48</v>
      </c>
      <c r="C90" s="1" t="s">
        <v>36</v>
      </c>
      <c r="D90">
        <v>0.78</v>
      </c>
    </row>
    <row r="91" spans="1:4" x14ac:dyDescent="0.3">
      <c r="A91" s="1" t="s">
        <v>11</v>
      </c>
      <c r="B91" s="1" t="s">
        <v>48</v>
      </c>
      <c r="C91" s="1" t="s">
        <v>37</v>
      </c>
      <c r="D91">
        <v>0.78</v>
      </c>
    </row>
    <row r="92" spans="1:4" x14ac:dyDescent="0.3">
      <c r="A92" s="1" t="s">
        <v>11</v>
      </c>
      <c r="B92" s="1" t="s">
        <v>48</v>
      </c>
      <c r="C92" s="1" t="s">
        <v>38</v>
      </c>
      <c r="D92">
        <v>0.78</v>
      </c>
    </row>
    <row r="93" spans="1:4" x14ac:dyDescent="0.3">
      <c r="A93" s="1" t="s">
        <v>11</v>
      </c>
      <c r="B93" s="1" t="s">
        <v>48</v>
      </c>
      <c r="C93" s="1" t="s">
        <v>39</v>
      </c>
      <c r="D93">
        <v>0.78</v>
      </c>
    </row>
    <row r="94" spans="1:4" x14ac:dyDescent="0.3">
      <c r="A94" s="1" t="s">
        <v>11</v>
      </c>
      <c r="B94" s="1" t="s">
        <v>48</v>
      </c>
      <c r="C94" s="1" t="s">
        <v>40</v>
      </c>
      <c r="D94">
        <v>0.74</v>
      </c>
    </row>
    <row r="95" spans="1:4" x14ac:dyDescent="0.3">
      <c r="A95" s="1" t="s">
        <v>11</v>
      </c>
      <c r="B95" s="1" t="s">
        <v>48</v>
      </c>
      <c r="C95" s="1" t="s">
        <v>41</v>
      </c>
      <c r="D95">
        <v>0.7</v>
      </c>
    </row>
    <row r="96" spans="1:4" x14ac:dyDescent="0.3">
      <c r="A96" s="1" t="s">
        <v>11</v>
      </c>
      <c r="B96" s="1" t="s">
        <v>48</v>
      </c>
      <c r="C96" s="1" t="s">
        <v>42</v>
      </c>
      <c r="D96">
        <v>0.66</v>
      </c>
    </row>
    <row r="97" spans="1:4" x14ac:dyDescent="0.3">
      <c r="A97" s="1" t="s">
        <v>11</v>
      </c>
      <c r="B97" s="1" t="s">
        <v>48</v>
      </c>
      <c r="C97" s="1" t="s">
        <v>43</v>
      </c>
      <c r="D97">
        <v>0.62</v>
      </c>
    </row>
    <row r="98" spans="1:4" x14ac:dyDescent="0.3">
      <c r="A98" s="1" t="s">
        <v>11</v>
      </c>
      <c r="B98" s="1" t="s">
        <v>48</v>
      </c>
      <c r="C98" s="1" t="s">
        <v>44</v>
      </c>
      <c r="D98">
        <v>0.59</v>
      </c>
    </row>
    <row r="99" spans="1:4" x14ac:dyDescent="0.3">
      <c r="A99" s="1" t="s">
        <v>11</v>
      </c>
      <c r="B99" s="1" t="s">
        <v>48</v>
      </c>
      <c r="C99" s="1" t="s">
        <v>45</v>
      </c>
      <c r="D99">
        <v>0.59</v>
      </c>
    </row>
    <row r="100" spans="1:4" x14ac:dyDescent="0.3">
      <c r="A100" s="1" t="s">
        <v>11</v>
      </c>
      <c r="B100" s="1" t="s">
        <v>48</v>
      </c>
      <c r="C100" s="1" t="s">
        <v>46</v>
      </c>
      <c r="D100">
        <v>0.59</v>
      </c>
    </row>
    <row r="101" spans="1:4" x14ac:dyDescent="0.3">
      <c r="A101" s="1" t="s">
        <v>12</v>
      </c>
      <c r="B101" s="1" t="s">
        <v>48</v>
      </c>
      <c r="C101" s="1" t="s">
        <v>36</v>
      </c>
      <c r="D101">
        <v>0.91</v>
      </c>
    </row>
    <row r="102" spans="1:4" x14ac:dyDescent="0.3">
      <c r="A102" s="1" t="s">
        <v>12</v>
      </c>
      <c r="B102" s="1" t="s">
        <v>48</v>
      </c>
      <c r="C102" s="1" t="s">
        <v>37</v>
      </c>
      <c r="D102">
        <v>0.91</v>
      </c>
    </row>
    <row r="103" spans="1:4" x14ac:dyDescent="0.3">
      <c r="A103" s="1" t="s">
        <v>12</v>
      </c>
      <c r="B103" s="1" t="s">
        <v>48</v>
      </c>
      <c r="C103" s="1" t="s">
        <v>38</v>
      </c>
      <c r="D103">
        <v>0.91</v>
      </c>
    </row>
    <row r="104" spans="1:4" x14ac:dyDescent="0.3">
      <c r="A104" s="1" t="s">
        <v>12</v>
      </c>
      <c r="B104" s="1" t="s">
        <v>48</v>
      </c>
      <c r="C104" s="1" t="s">
        <v>39</v>
      </c>
      <c r="D104">
        <v>0.91</v>
      </c>
    </row>
    <row r="105" spans="1:4" x14ac:dyDescent="0.3">
      <c r="A105" s="1" t="s">
        <v>12</v>
      </c>
      <c r="B105" s="1" t="s">
        <v>48</v>
      </c>
      <c r="C105" s="1" t="s">
        <v>40</v>
      </c>
      <c r="D105">
        <v>0.86</v>
      </c>
    </row>
    <row r="106" spans="1:4" x14ac:dyDescent="0.3">
      <c r="A106" s="1" t="s">
        <v>12</v>
      </c>
      <c r="B106" s="1" t="s">
        <v>48</v>
      </c>
      <c r="C106" s="1" t="s">
        <v>41</v>
      </c>
      <c r="D106">
        <v>0.82</v>
      </c>
    </row>
    <row r="107" spans="1:4" x14ac:dyDescent="0.3">
      <c r="A107" s="1" t="s">
        <v>12</v>
      </c>
      <c r="B107" s="1" t="s">
        <v>48</v>
      </c>
      <c r="C107" s="1" t="s">
        <v>42</v>
      </c>
      <c r="D107">
        <v>0.77</v>
      </c>
    </row>
    <row r="108" spans="1:4" x14ac:dyDescent="0.3">
      <c r="A108" s="1" t="s">
        <v>12</v>
      </c>
      <c r="B108" s="1" t="s">
        <v>48</v>
      </c>
      <c r="C108" s="1" t="s">
        <v>43</v>
      </c>
      <c r="D108">
        <v>0.73</v>
      </c>
    </row>
    <row r="109" spans="1:4" x14ac:dyDescent="0.3">
      <c r="A109" s="1" t="s">
        <v>12</v>
      </c>
      <c r="B109" s="1" t="s">
        <v>48</v>
      </c>
      <c r="C109" s="1" t="s">
        <v>44</v>
      </c>
      <c r="D109">
        <v>0.68</v>
      </c>
    </row>
    <row r="110" spans="1:4" x14ac:dyDescent="0.3">
      <c r="A110" s="1" t="s">
        <v>12</v>
      </c>
      <c r="B110" s="1" t="s">
        <v>48</v>
      </c>
      <c r="C110" s="1" t="s">
        <v>45</v>
      </c>
      <c r="D110">
        <v>0.68</v>
      </c>
    </row>
    <row r="111" spans="1:4" x14ac:dyDescent="0.3">
      <c r="A111" s="1" t="s">
        <v>12</v>
      </c>
      <c r="B111" s="1" t="s">
        <v>48</v>
      </c>
      <c r="C111" s="1" t="s">
        <v>46</v>
      </c>
      <c r="D111">
        <v>0.68</v>
      </c>
    </row>
    <row r="112" spans="1:4" x14ac:dyDescent="0.3">
      <c r="A112" s="1" t="s">
        <v>13</v>
      </c>
      <c r="B112" s="1" t="s">
        <v>48</v>
      </c>
      <c r="C112" s="1" t="s">
        <v>36</v>
      </c>
      <c r="D112">
        <v>0.87</v>
      </c>
    </row>
    <row r="113" spans="1:4" x14ac:dyDescent="0.3">
      <c r="A113" s="1" t="s">
        <v>13</v>
      </c>
      <c r="B113" s="1" t="s">
        <v>48</v>
      </c>
      <c r="C113" s="1" t="s">
        <v>37</v>
      </c>
      <c r="D113">
        <v>0.87</v>
      </c>
    </row>
    <row r="114" spans="1:4" x14ac:dyDescent="0.3">
      <c r="A114" s="1" t="s">
        <v>13</v>
      </c>
      <c r="B114" s="1" t="s">
        <v>48</v>
      </c>
      <c r="C114" s="1" t="s">
        <v>38</v>
      </c>
      <c r="D114">
        <v>0.87</v>
      </c>
    </row>
    <row r="115" spans="1:4" x14ac:dyDescent="0.3">
      <c r="A115" s="1" t="s">
        <v>13</v>
      </c>
      <c r="B115" s="1" t="s">
        <v>48</v>
      </c>
      <c r="C115" s="1" t="s">
        <v>39</v>
      </c>
      <c r="D115">
        <v>0.87</v>
      </c>
    </row>
    <row r="116" spans="1:4" x14ac:dyDescent="0.3">
      <c r="A116" s="1" t="s">
        <v>13</v>
      </c>
      <c r="B116" s="1" t="s">
        <v>48</v>
      </c>
      <c r="C116" s="1" t="s">
        <v>40</v>
      </c>
      <c r="D116">
        <v>0.83</v>
      </c>
    </row>
    <row r="117" spans="1:4" x14ac:dyDescent="0.3">
      <c r="A117" s="1" t="s">
        <v>13</v>
      </c>
      <c r="B117" s="1" t="s">
        <v>48</v>
      </c>
      <c r="C117" s="1" t="s">
        <v>41</v>
      </c>
      <c r="D117">
        <v>0.78</v>
      </c>
    </row>
    <row r="118" spans="1:4" x14ac:dyDescent="0.3">
      <c r="A118" s="1" t="s">
        <v>13</v>
      </c>
      <c r="B118" s="1" t="s">
        <v>48</v>
      </c>
      <c r="C118" s="1" t="s">
        <v>42</v>
      </c>
      <c r="D118">
        <v>0.74</v>
      </c>
    </row>
    <row r="119" spans="1:4" x14ac:dyDescent="0.3">
      <c r="A119" s="1" t="s">
        <v>13</v>
      </c>
      <c r="B119" s="1" t="s">
        <v>48</v>
      </c>
      <c r="C119" s="1" t="s">
        <v>43</v>
      </c>
      <c r="D119">
        <v>0.7</v>
      </c>
    </row>
    <row r="120" spans="1:4" x14ac:dyDescent="0.3">
      <c r="A120" s="1" t="s">
        <v>13</v>
      </c>
      <c r="B120" s="1" t="s">
        <v>48</v>
      </c>
      <c r="C120" s="1" t="s">
        <v>44</v>
      </c>
      <c r="D120">
        <v>0.65</v>
      </c>
    </row>
    <row r="121" spans="1:4" x14ac:dyDescent="0.3">
      <c r="A121" s="1" t="s">
        <v>13</v>
      </c>
      <c r="B121" s="1" t="s">
        <v>48</v>
      </c>
      <c r="C121" s="1" t="s">
        <v>45</v>
      </c>
      <c r="D121">
        <v>0.65</v>
      </c>
    </row>
    <row r="122" spans="1:4" x14ac:dyDescent="0.3">
      <c r="A122" s="1" t="s">
        <v>13</v>
      </c>
      <c r="B122" s="1" t="s">
        <v>48</v>
      </c>
      <c r="C122" s="1" t="s">
        <v>46</v>
      </c>
      <c r="D122">
        <v>0.65</v>
      </c>
    </row>
    <row r="123" spans="1:4" x14ac:dyDescent="0.3">
      <c r="A123" s="1" t="s">
        <v>14</v>
      </c>
      <c r="B123" s="1" t="s">
        <v>48</v>
      </c>
      <c r="C123" s="1" t="s">
        <v>36</v>
      </c>
      <c r="D123">
        <v>1</v>
      </c>
    </row>
    <row r="124" spans="1:4" x14ac:dyDescent="0.3">
      <c r="A124" s="1" t="s">
        <v>14</v>
      </c>
      <c r="B124" s="1" t="s">
        <v>48</v>
      </c>
      <c r="C124" s="1" t="s">
        <v>37</v>
      </c>
      <c r="D124">
        <v>1</v>
      </c>
    </row>
    <row r="125" spans="1:4" x14ac:dyDescent="0.3">
      <c r="A125" s="1" t="s">
        <v>14</v>
      </c>
      <c r="B125" s="1" t="s">
        <v>48</v>
      </c>
      <c r="C125" s="1" t="s">
        <v>38</v>
      </c>
      <c r="D125">
        <v>1</v>
      </c>
    </row>
    <row r="126" spans="1:4" x14ac:dyDescent="0.3">
      <c r="A126" s="1" t="s">
        <v>14</v>
      </c>
      <c r="B126" s="1" t="s">
        <v>48</v>
      </c>
      <c r="C126" s="1" t="s">
        <v>39</v>
      </c>
      <c r="D126">
        <v>1</v>
      </c>
    </row>
    <row r="127" spans="1:4" x14ac:dyDescent="0.3">
      <c r="A127" s="1" t="s">
        <v>14</v>
      </c>
      <c r="B127" s="1" t="s">
        <v>48</v>
      </c>
      <c r="C127" s="1" t="s">
        <v>40</v>
      </c>
      <c r="D127">
        <v>0.95</v>
      </c>
    </row>
    <row r="128" spans="1:4" x14ac:dyDescent="0.3">
      <c r="A128" s="1" t="s">
        <v>14</v>
      </c>
      <c r="B128" s="1" t="s">
        <v>48</v>
      </c>
      <c r="C128" s="1" t="s">
        <v>41</v>
      </c>
      <c r="D128">
        <v>0.9</v>
      </c>
    </row>
    <row r="129" spans="1:4" x14ac:dyDescent="0.3">
      <c r="A129" s="1" t="s">
        <v>14</v>
      </c>
      <c r="B129" s="1" t="s">
        <v>48</v>
      </c>
      <c r="C129" s="1" t="s">
        <v>42</v>
      </c>
      <c r="D129">
        <v>0.85</v>
      </c>
    </row>
    <row r="130" spans="1:4" x14ac:dyDescent="0.3">
      <c r="A130" s="1" t="s">
        <v>14</v>
      </c>
      <c r="B130" s="1" t="s">
        <v>48</v>
      </c>
      <c r="C130" s="1" t="s">
        <v>43</v>
      </c>
      <c r="D130">
        <v>0.8</v>
      </c>
    </row>
    <row r="131" spans="1:4" x14ac:dyDescent="0.3">
      <c r="A131" s="1" t="s">
        <v>14</v>
      </c>
      <c r="B131" s="1" t="s">
        <v>48</v>
      </c>
      <c r="C131" s="1" t="s">
        <v>44</v>
      </c>
      <c r="D131">
        <v>0.75</v>
      </c>
    </row>
    <row r="132" spans="1:4" x14ac:dyDescent="0.3">
      <c r="A132" s="1" t="s">
        <v>14</v>
      </c>
      <c r="B132" s="1" t="s">
        <v>48</v>
      </c>
      <c r="C132" s="1" t="s">
        <v>45</v>
      </c>
      <c r="D132">
        <v>0.75</v>
      </c>
    </row>
    <row r="133" spans="1:4" x14ac:dyDescent="0.3">
      <c r="A133" s="1" t="s">
        <v>14</v>
      </c>
      <c r="B133" s="1" t="s">
        <v>48</v>
      </c>
      <c r="C133" s="1" t="s">
        <v>46</v>
      </c>
      <c r="D133">
        <v>0.75</v>
      </c>
    </row>
    <row r="134" spans="1:4" x14ac:dyDescent="0.3">
      <c r="A134" s="1" t="s">
        <v>15</v>
      </c>
      <c r="B134" s="1" t="s">
        <v>48</v>
      </c>
      <c r="C134" s="1" t="s">
        <v>36</v>
      </c>
      <c r="D134">
        <v>0.84</v>
      </c>
    </row>
    <row r="135" spans="1:4" x14ac:dyDescent="0.3">
      <c r="A135" s="1" t="s">
        <v>15</v>
      </c>
      <c r="B135" s="1" t="s">
        <v>48</v>
      </c>
      <c r="C135" s="1" t="s">
        <v>37</v>
      </c>
      <c r="D135">
        <v>0.84</v>
      </c>
    </row>
    <row r="136" spans="1:4" x14ac:dyDescent="0.3">
      <c r="A136" s="1" t="s">
        <v>15</v>
      </c>
      <c r="B136" s="1" t="s">
        <v>48</v>
      </c>
      <c r="C136" s="1" t="s">
        <v>38</v>
      </c>
      <c r="D136">
        <v>0.84</v>
      </c>
    </row>
    <row r="137" spans="1:4" x14ac:dyDescent="0.3">
      <c r="A137" s="1" t="s">
        <v>15</v>
      </c>
      <c r="B137" s="1" t="s">
        <v>48</v>
      </c>
      <c r="C137" s="1" t="s">
        <v>39</v>
      </c>
      <c r="D137">
        <v>0.84</v>
      </c>
    </row>
    <row r="138" spans="1:4" x14ac:dyDescent="0.3">
      <c r="A138" s="1" t="s">
        <v>15</v>
      </c>
      <c r="B138" s="1" t="s">
        <v>48</v>
      </c>
      <c r="C138" s="1" t="s">
        <v>40</v>
      </c>
      <c r="D138">
        <v>0.8</v>
      </c>
    </row>
    <row r="139" spans="1:4" x14ac:dyDescent="0.3">
      <c r="A139" s="1" t="s">
        <v>15</v>
      </c>
      <c r="B139" s="1" t="s">
        <v>48</v>
      </c>
      <c r="C139" s="1" t="s">
        <v>41</v>
      </c>
      <c r="D139">
        <v>0.76</v>
      </c>
    </row>
    <row r="140" spans="1:4" x14ac:dyDescent="0.3">
      <c r="A140" s="1" t="s">
        <v>15</v>
      </c>
      <c r="B140" s="1" t="s">
        <v>48</v>
      </c>
      <c r="C140" s="1" t="s">
        <v>42</v>
      </c>
      <c r="D140">
        <v>0.71</v>
      </c>
    </row>
    <row r="141" spans="1:4" x14ac:dyDescent="0.3">
      <c r="A141" s="1" t="s">
        <v>15</v>
      </c>
      <c r="B141" s="1" t="s">
        <v>48</v>
      </c>
      <c r="C141" s="1" t="s">
        <v>43</v>
      </c>
      <c r="D141">
        <v>0.67</v>
      </c>
    </row>
    <row r="142" spans="1:4" x14ac:dyDescent="0.3">
      <c r="A142" s="1" t="s">
        <v>15</v>
      </c>
      <c r="B142" s="1" t="s">
        <v>48</v>
      </c>
      <c r="C142" s="1" t="s">
        <v>44</v>
      </c>
      <c r="D142">
        <v>0.63</v>
      </c>
    </row>
    <row r="143" spans="1:4" x14ac:dyDescent="0.3">
      <c r="A143" s="1" t="s">
        <v>15</v>
      </c>
      <c r="B143" s="1" t="s">
        <v>48</v>
      </c>
      <c r="C143" s="1" t="s">
        <v>45</v>
      </c>
      <c r="D143">
        <v>0.63</v>
      </c>
    </row>
    <row r="144" spans="1:4" x14ac:dyDescent="0.3">
      <c r="A144" s="1" t="s">
        <v>15</v>
      </c>
      <c r="B144" s="1" t="s">
        <v>48</v>
      </c>
      <c r="C144" s="1" t="s">
        <v>46</v>
      </c>
      <c r="D144">
        <v>0.63</v>
      </c>
    </row>
    <row r="145" spans="1:4" x14ac:dyDescent="0.3">
      <c r="A145" s="1" t="s">
        <v>16</v>
      </c>
      <c r="B145" s="1" t="s">
        <v>48</v>
      </c>
      <c r="C145" s="1" t="s">
        <v>36</v>
      </c>
      <c r="D145">
        <v>1</v>
      </c>
    </row>
    <row r="146" spans="1:4" x14ac:dyDescent="0.3">
      <c r="A146" s="1" t="s">
        <v>16</v>
      </c>
      <c r="B146" s="1" t="s">
        <v>48</v>
      </c>
      <c r="C146" s="1" t="s">
        <v>37</v>
      </c>
      <c r="D146">
        <v>1</v>
      </c>
    </row>
    <row r="147" spans="1:4" x14ac:dyDescent="0.3">
      <c r="A147" s="1" t="s">
        <v>16</v>
      </c>
      <c r="B147" s="1" t="s">
        <v>48</v>
      </c>
      <c r="C147" s="1" t="s">
        <v>38</v>
      </c>
      <c r="D147">
        <v>1</v>
      </c>
    </row>
    <row r="148" spans="1:4" x14ac:dyDescent="0.3">
      <c r="A148" s="1" t="s">
        <v>16</v>
      </c>
      <c r="B148" s="1" t="s">
        <v>48</v>
      </c>
      <c r="C148" s="1" t="s">
        <v>39</v>
      </c>
      <c r="D148">
        <v>1</v>
      </c>
    </row>
    <row r="149" spans="1:4" x14ac:dyDescent="0.3">
      <c r="A149" s="1" t="s">
        <v>16</v>
      </c>
      <c r="B149" s="1" t="s">
        <v>48</v>
      </c>
      <c r="C149" s="1" t="s">
        <v>40</v>
      </c>
      <c r="D149">
        <v>0.95</v>
      </c>
    </row>
    <row r="150" spans="1:4" x14ac:dyDescent="0.3">
      <c r="A150" s="1" t="s">
        <v>16</v>
      </c>
      <c r="B150" s="1" t="s">
        <v>48</v>
      </c>
      <c r="C150" s="1" t="s">
        <v>41</v>
      </c>
      <c r="D150">
        <v>0.9</v>
      </c>
    </row>
    <row r="151" spans="1:4" x14ac:dyDescent="0.3">
      <c r="A151" s="1" t="s">
        <v>16</v>
      </c>
      <c r="B151" s="1" t="s">
        <v>48</v>
      </c>
      <c r="C151" s="1" t="s">
        <v>42</v>
      </c>
      <c r="D151">
        <v>0.85</v>
      </c>
    </row>
    <row r="152" spans="1:4" x14ac:dyDescent="0.3">
      <c r="A152" s="1" t="s">
        <v>16</v>
      </c>
      <c r="B152" s="1" t="s">
        <v>48</v>
      </c>
      <c r="C152" s="1" t="s">
        <v>43</v>
      </c>
      <c r="D152">
        <v>0.8</v>
      </c>
    </row>
    <row r="153" spans="1:4" x14ac:dyDescent="0.3">
      <c r="A153" s="1" t="s">
        <v>16</v>
      </c>
      <c r="B153" s="1" t="s">
        <v>48</v>
      </c>
      <c r="C153" s="1" t="s">
        <v>44</v>
      </c>
      <c r="D153">
        <v>0.75</v>
      </c>
    </row>
    <row r="154" spans="1:4" x14ac:dyDescent="0.3">
      <c r="A154" s="1" t="s">
        <v>16</v>
      </c>
      <c r="B154" s="1" t="s">
        <v>48</v>
      </c>
      <c r="C154" s="1" t="s">
        <v>45</v>
      </c>
      <c r="D154">
        <v>0.75</v>
      </c>
    </row>
    <row r="155" spans="1:4" x14ac:dyDescent="0.3">
      <c r="A155" s="1" t="s">
        <v>16</v>
      </c>
      <c r="B155" s="1" t="s">
        <v>48</v>
      </c>
      <c r="C155" s="1" t="s">
        <v>46</v>
      </c>
      <c r="D155">
        <v>0.75</v>
      </c>
    </row>
    <row r="156" spans="1:4" x14ac:dyDescent="0.3">
      <c r="A156" s="1" t="s">
        <v>17</v>
      </c>
      <c r="B156" s="1" t="s">
        <v>48</v>
      </c>
      <c r="C156" s="1" t="s">
        <v>36</v>
      </c>
      <c r="D156">
        <v>0</v>
      </c>
    </row>
    <row r="157" spans="1:4" x14ac:dyDescent="0.3">
      <c r="A157" s="1" t="s">
        <v>17</v>
      </c>
      <c r="B157" s="1" t="s">
        <v>48</v>
      </c>
      <c r="C157" s="1" t="s">
        <v>37</v>
      </c>
      <c r="D157">
        <v>0</v>
      </c>
    </row>
    <row r="158" spans="1:4" x14ac:dyDescent="0.3">
      <c r="A158" s="1" t="s">
        <v>17</v>
      </c>
      <c r="B158" s="1" t="s">
        <v>48</v>
      </c>
      <c r="C158" s="1" t="s">
        <v>38</v>
      </c>
      <c r="D158">
        <v>0</v>
      </c>
    </row>
    <row r="159" spans="1:4" x14ac:dyDescent="0.3">
      <c r="A159" s="1" t="s">
        <v>17</v>
      </c>
      <c r="B159" s="1" t="s">
        <v>48</v>
      </c>
      <c r="C159" s="1" t="s">
        <v>39</v>
      </c>
      <c r="D159">
        <v>0</v>
      </c>
    </row>
    <row r="160" spans="1:4" x14ac:dyDescent="0.3">
      <c r="A160" s="1" t="s">
        <v>17</v>
      </c>
      <c r="B160" s="1" t="s">
        <v>48</v>
      </c>
      <c r="C160" s="1" t="s">
        <v>40</v>
      </c>
      <c r="D160">
        <v>0</v>
      </c>
    </row>
    <row r="161" spans="1:4" x14ac:dyDescent="0.3">
      <c r="A161" s="1" t="s">
        <v>17</v>
      </c>
      <c r="B161" s="1" t="s">
        <v>48</v>
      </c>
      <c r="C161" s="1" t="s">
        <v>41</v>
      </c>
      <c r="D161">
        <v>0</v>
      </c>
    </row>
    <row r="162" spans="1:4" x14ac:dyDescent="0.3">
      <c r="A162" s="1" t="s">
        <v>17</v>
      </c>
      <c r="B162" s="1" t="s">
        <v>48</v>
      </c>
      <c r="C162" s="1" t="s">
        <v>42</v>
      </c>
      <c r="D162">
        <v>0</v>
      </c>
    </row>
    <row r="163" spans="1:4" x14ac:dyDescent="0.3">
      <c r="A163" s="1" t="s">
        <v>17</v>
      </c>
      <c r="B163" s="1" t="s">
        <v>48</v>
      </c>
      <c r="C163" s="1" t="s">
        <v>43</v>
      </c>
      <c r="D163">
        <v>0</v>
      </c>
    </row>
    <row r="164" spans="1:4" x14ac:dyDescent="0.3">
      <c r="A164" s="1" t="s">
        <v>17</v>
      </c>
      <c r="B164" s="1" t="s">
        <v>48</v>
      </c>
      <c r="C164" s="1" t="s">
        <v>44</v>
      </c>
      <c r="D164">
        <v>0</v>
      </c>
    </row>
    <row r="165" spans="1:4" x14ac:dyDescent="0.3">
      <c r="A165" s="1" t="s">
        <v>17</v>
      </c>
      <c r="B165" s="1" t="s">
        <v>48</v>
      </c>
      <c r="C165" s="1" t="s">
        <v>45</v>
      </c>
      <c r="D165">
        <v>0</v>
      </c>
    </row>
    <row r="166" spans="1:4" x14ac:dyDescent="0.3">
      <c r="A166" s="1" t="s">
        <v>17</v>
      </c>
      <c r="B166" s="1" t="s">
        <v>48</v>
      </c>
      <c r="C166" s="1" t="s">
        <v>46</v>
      </c>
      <c r="D166">
        <v>0</v>
      </c>
    </row>
    <row r="167" spans="1:4" x14ac:dyDescent="0.3">
      <c r="A167" s="1" t="s">
        <v>18</v>
      </c>
      <c r="B167" s="1" t="s">
        <v>48</v>
      </c>
      <c r="C167" s="1" t="s">
        <v>36</v>
      </c>
      <c r="D167">
        <v>0.97</v>
      </c>
    </row>
    <row r="168" spans="1:4" x14ac:dyDescent="0.3">
      <c r="A168" s="1" t="s">
        <v>18</v>
      </c>
      <c r="B168" s="1" t="s">
        <v>48</v>
      </c>
      <c r="C168" s="1" t="s">
        <v>37</v>
      </c>
      <c r="D168">
        <v>0.97</v>
      </c>
    </row>
    <row r="169" spans="1:4" x14ac:dyDescent="0.3">
      <c r="A169" s="1" t="s">
        <v>18</v>
      </c>
      <c r="B169" s="1" t="s">
        <v>48</v>
      </c>
      <c r="C169" s="1" t="s">
        <v>38</v>
      </c>
      <c r="D169">
        <v>0.97</v>
      </c>
    </row>
    <row r="170" spans="1:4" x14ac:dyDescent="0.3">
      <c r="A170" s="1" t="s">
        <v>18</v>
      </c>
      <c r="B170" s="1" t="s">
        <v>48</v>
      </c>
      <c r="C170" s="1" t="s">
        <v>39</v>
      </c>
      <c r="D170">
        <v>0.97</v>
      </c>
    </row>
    <row r="171" spans="1:4" x14ac:dyDescent="0.3">
      <c r="A171" s="1" t="s">
        <v>18</v>
      </c>
      <c r="B171" s="1" t="s">
        <v>48</v>
      </c>
      <c r="C171" s="1" t="s">
        <v>40</v>
      </c>
      <c r="D171">
        <v>0.92</v>
      </c>
    </row>
    <row r="172" spans="1:4" x14ac:dyDescent="0.3">
      <c r="A172" s="1" t="s">
        <v>18</v>
      </c>
      <c r="B172" s="1" t="s">
        <v>48</v>
      </c>
      <c r="C172" s="1" t="s">
        <v>41</v>
      </c>
      <c r="D172">
        <v>0.87</v>
      </c>
    </row>
    <row r="173" spans="1:4" x14ac:dyDescent="0.3">
      <c r="A173" s="1" t="s">
        <v>18</v>
      </c>
      <c r="B173" s="1" t="s">
        <v>48</v>
      </c>
      <c r="C173" s="1" t="s">
        <v>42</v>
      </c>
      <c r="D173">
        <v>0.82</v>
      </c>
    </row>
    <row r="174" spans="1:4" x14ac:dyDescent="0.3">
      <c r="A174" s="1" t="s">
        <v>18</v>
      </c>
      <c r="B174" s="1" t="s">
        <v>48</v>
      </c>
      <c r="C174" s="1" t="s">
        <v>43</v>
      </c>
      <c r="D174">
        <v>0.78</v>
      </c>
    </row>
    <row r="175" spans="1:4" x14ac:dyDescent="0.3">
      <c r="A175" s="1" t="s">
        <v>18</v>
      </c>
      <c r="B175" s="1" t="s">
        <v>48</v>
      </c>
      <c r="C175" s="1" t="s">
        <v>44</v>
      </c>
      <c r="D175">
        <v>0.73</v>
      </c>
    </row>
    <row r="176" spans="1:4" x14ac:dyDescent="0.3">
      <c r="A176" s="1" t="s">
        <v>18</v>
      </c>
      <c r="B176" s="1" t="s">
        <v>48</v>
      </c>
      <c r="C176" s="1" t="s">
        <v>45</v>
      </c>
      <c r="D176">
        <v>0.73</v>
      </c>
    </row>
    <row r="177" spans="1:4" x14ac:dyDescent="0.3">
      <c r="A177" s="1" t="s">
        <v>18</v>
      </c>
      <c r="B177" s="1" t="s">
        <v>48</v>
      </c>
      <c r="C177" s="1" t="s">
        <v>46</v>
      </c>
      <c r="D177">
        <v>0.73</v>
      </c>
    </row>
    <row r="178" spans="1:4" x14ac:dyDescent="0.3">
      <c r="A178" s="1" t="s">
        <v>19</v>
      </c>
      <c r="B178" s="1" t="s">
        <v>48</v>
      </c>
      <c r="C178" s="1" t="s">
        <v>36</v>
      </c>
      <c r="D178">
        <v>1</v>
      </c>
    </row>
    <row r="179" spans="1:4" x14ac:dyDescent="0.3">
      <c r="A179" s="1" t="s">
        <v>19</v>
      </c>
      <c r="B179" s="1" t="s">
        <v>48</v>
      </c>
      <c r="C179" s="1" t="s">
        <v>37</v>
      </c>
      <c r="D179">
        <v>1</v>
      </c>
    </row>
    <row r="180" spans="1:4" x14ac:dyDescent="0.3">
      <c r="A180" s="1" t="s">
        <v>19</v>
      </c>
      <c r="B180" s="1" t="s">
        <v>48</v>
      </c>
      <c r="C180" s="1" t="s">
        <v>38</v>
      </c>
      <c r="D180">
        <v>1</v>
      </c>
    </row>
    <row r="181" spans="1:4" x14ac:dyDescent="0.3">
      <c r="A181" s="1" t="s">
        <v>19</v>
      </c>
      <c r="B181" s="1" t="s">
        <v>48</v>
      </c>
      <c r="C181" s="1" t="s">
        <v>39</v>
      </c>
      <c r="D181">
        <v>1</v>
      </c>
    </row>
    <row r="182" spans="1:4" x14ac:dyDescent="0.3">
      <c r="A182" s="1" t="s">
        <v>19</v>
      </c>
      <c r="B182" s="1" t="s">
        <v>48</v>
      </c>
      <c r="C182" s="1" t="s">
        <v>40</v>
      </c>
      <c r="D182">
        <v>0.95</v>
      </c>
    </row>
    <row r="183" spans="1:4" x14ac:dyDescent="0.3">
      <c r="A183" s="1" t="s">
        <v>19</v>
      </c>
      <c r="B183" s="1" t="s">
        <v>48</v>
      </c>
      <c r="C183" s="1" t="s">
        <v>41</v>
      </c>
      <c r="D183">
        <v>0.9</v>
      </c>
    </row>
    <row r="184" spans="1:4" x14ac:dyDescent="0.3">
      <c r="A184" s="1" t="s">
        <v>19</v>
      </c>
      <c r="B184" s="1" t="s">
        <v>48</v>
      </c>
      <c r="C184" s="1" t="s">
        <v>42</v>
      </c>
      <c r="D184">
        <v>0.85</v>
      </c>
    </row>
    <row r="185" spans="1:4" x14ac:dyDescent="0.3">
      <c r="A185" s="1" t="s">
        <v>19</v>
      </c>
      <c r="B185" s="1" t="s">
        <v>48</v>
      </c>
      <c r="C185" s="1" t="s">
        <v>43</v>
      </c>
      <c r="D185">
        <v>0.8</v>
      </c>
    </row>
    <row r="186" spans="1:4" x14ac:dyDescent="0.3">
      <c r="A186" s="1" t="s">
        <v>19</v>
      </c>
      <c r="B186" s="1" t="s">
        <v>48</v>
      </c>
      <c r="C186" s="1" t="s">
        <v>44</v>
      </c>
      <c r="D186">
        <v>0.75</v>
      </c>
    </row>
    <row r="187" spans="1:4" x14ac:dyDescent="0.3">
      <c r="A187" s="1" t="s">
        <v>19</v>
      </c>
      <c r="B187" s="1" t="s">
        <v>48</v>
      </c>
      <c r="C187" s="1" t="s">
        <v>45</v>
      </c>
      <c r="D187">
        <v>0.75</v>
      </c>
    </row>
    <row r="188" spans="1:4" x14ac:dyDescent="0.3">
      <c r="A188" s="1" t="s">
        <v>19</v>
      </c>
      <c r="B188" s="1" t="s">
        <v>48</v>
      </c>
      <c r="C188" s="1" t="s">
        <v>46</v>
      </c>
      <c r="D188">
        <v>0.75</v>
      </c>
    </row>
    <row r="189" spans="1:4" x14ac:dyDescent="0.3">
      <c r="A189" s="1" t="s">
        <v>20</v>
      </c>
      <c r="B189" s="1" t="s">
        <v>48</v>
      </c>
      <c r="C189" s="1" t="s">
        <v>36</v>
      </c>
      <c r="D189">
        <v>0.99</v>
      </c>
    </row>
    <row r="190" spans="1:4" x14ac:dyDescent="0.3">
      <c r="A190" s="1" t="s">
        <v>20</v>
      </c>
      <c r="B190" s="1" t="s">
        <v>48</v>
      </c>
      <c r="C190" s="1" t="s">
        <v>37</v>
      </c>
      <c r="D190">
        <v>0.99</v>
      </c>
    </row>
    <row r="191" spans="1:4" x14ac:dyDescent="0.3">
      <c r="A191" s="1" t="s">
        <v>20</v>
      </c>
      <c r="B191" s="1" t="s">
        <v>48</v>
      </c>
      <c r="C191" s="1" t="s">
        <v>38</v>
      </c>
      <c r="D191">
        <v>0.99</v>
      </c>
    </row>
    <row r="192" spans="1:4" x14ac:dyDescent="0.3">
      <c r="A192" s="1" t="s">
        <v>20</v>
      </c>
      <c r="B192" s="1" t="s">
        <v>48</v>
      </c>
      <c r="C192" s="1" t="s">
        <v>39</v>
      </c>
      <c r="D192">
        <v>0.99</v>
      </c>
    </row>
    <row r="193" spans="1:4" x14ac:dyDescent="0.3">
      <c r="A193" s="1" t="s">
        <v>20</v>
      </c>
      <c r="B193" s="1" t="s">
        <v>48</v>
      </c>
      <c r="C193" s="1" t="s">
        <v>40</v>
      </c>
      <c r="D193">
        <v>0.94</v>
      </c>
    </row>
    <row r="194" spans="1:4" x14ac:dyDescent="0.3">
      <c r="A194" s="1" t="s">
        <v>20</v>
      </c>
      <c r="B194" s="1" t="s">
        <v>48</v>
      </c>
      <c r="C194" s="1" t="s">
        <v>41</v>
      </c>
      <c r="D194">
        <v>0.89</v>
      </c>
    </row>
    <row r="195" spans="1:4" x14ac:dyDescent="0.3">
      <c r="A195" s="1" t="s">
        <v>20</v>
      </c>
      <c r="B195" s="1" t="s">
        <v>48</v>
      </c>
      <c r="C195" s="1" t="s">
        <v>42</v>
      </c>
      <c r="D195">
        <v>0.84</v>
      </c>
    </row>
    <row r="196" spans="1:4" x14ac:dyDescent="0.3">
      <c r="A196" s="1" t="s">
        <v>20</v>
      </c>
      <c r="B196" s="1" t="s">
        <v>48</v>
      </c>
      <c r="C196" s="1" t="s">
        <v>43</v>
      </c>
      <c r="D196">
        <v>0.79</v>
      </c>
    </row>
    <row r="197" spans="1:4" x14ac:dyDescent="0.3">
      <c r="A197" s="1" t="s">
        <v>20</v>
      </c>
      <c r="B197" s="1" t="s">
        <v>48</v>
      </c>
      <c r="C197" s="1" t="s">
        <v>44</v>
      </c>
      <c r="D197">
        <v>0.74</v>
      </c>
    </row>
    <row r="198" spans="1:4" x14ac:dyDescent="0.3">
      <c r="A198" s="1" t="s">
        <v>20</v>
      </c>
      <c r="B198" s="1" t="s">
        <v>48</v>
      </c>
      <c r="C198" s="1" t="s">
        <v>45</v>
      </c>
      <c r="D198">
        <v>0.74</v>
      </c>
    </row>
    <row r="199" spans="1:4" x14ac:dyDescent="0.3">
      <c r="A199" s="1" t="s">
        <v>20</v>
      </c>
      <c r="B199" s="1" t="s">
        <v>48</v>
      </c>
      <c r="C199" s="1" t="s">
        <v>46</v>
      </c>
      <c r="D199">
        <v>0.74</v>
      </c>
    </row>
    <row r="200" spans="1:4" x14ac:dyDescent="0.3">
      <c r="A200" s="1" t="s">
        <v>21</v>
      </c>
      <c r="B200" s="1" t="s">
        <v>48</v>
      </c>
      <c r="C200" s="1" t="s">
        <v>36</v>
      </c>
      <c r="D200">
        <v>0.86</v>
      </c>
    </row>
    <row r="201" spans="1:4" x14ac:dyDescent="0.3">
      <c r="A201" s="1" t="s">
        <v>21</v>
      </c>
      <c r="B201" s="1" t="s">
        <v>48</v>
      </c>
      <c r="C201" s="1" t="s">
        <v>37</v>
      </c>
      <c r="D201">
        <v>0.86</v>
      </c>
    </row>
    <row r="202" spans="1:4" x14ac:dyDescent="0.3">
      <c r="A202" s="1" t="s">
        <v>21</v>
      </c>
      <c r="B202" s="1" t="s">
        <v>48</v>
      </c>
      <c r="C202" s="1" t="s">
        <v>38</v>
      </c>
      <c r="D202">
        <v>0.86</v>
      </c>
    </row>
    <row r="203" spans="1:4" x14ac:dyDescent="0.3">
      <c r="A203" s="1" t="s">
        <v>21</v>
      </c>
      <c r="B203" s="1" t="s">
        <v>48</v>
      </c>
      <c r="C203" s="1" t="s">
        <v>39</v>
      </c>
      <c r="D203">
        <v>0.86</v>
      </c>
    </row>
    <row r="204" spans="1:4" x14ac:dyDescent="0.3">
      <c r="A204" s="1" t="s">
        <v>21</v>
      </c>
      <c r="B204" s="1" t="s">
        <v>48</v>
      </c>
      <c r="C204" s="1" t="s">
        <v>40</v>
      </c>
      <c r="D204">
        <v>0.82</v>
      </c>
    </row>
    <row r="205" spans="1:4" x14ac:dyDescent="0.3">
      <c r="A205" s="1" t="s">
        <v>21</v>
      </c>
      <c r="B205" s="1" t="s">
        <v>48</v>
      </c>
      <c r="C205" s="1" t="s">
        <v>41</v>
      </c>
      <c r="D205">
        <v>0.77</v>
      </c>
    </row>
    <row r="206" spans="1:4" x14ac:dyDescent="0.3">
      <c r="A206" s="1" t="s">
        <v>21</v>
      </c>
      <c r="B206" s="1" t="s">
        <v>48</v>
      </c>
      <c r="C206" s="1" t="s">
        <v>42</v>
      </c>
      <c r="D206">
        <v>0.73</v>
      </c>
    </row>
    <row r="207" spans="1:4" x14ac:dyDescent="0.3">
      <c r="A207" s="1" t="s">
        <v>21</v>
      </c>
      <c r="B207" s="1" t="s">
        <v>48</v>
      </c>
      <c r="C207" s="1" t="s">
        <v>43</v>
      </c>
      <c r="D207">
        <v>0.69</v>
      </c>
    </row>
    <row r="208" spans="1:4" x14ac:dyDescent="0.3">
      <c r="A208" s="1" t="s">
        <v>21</v>
      </c>
      <c r="B208" s="1" t="s">
        <v>48</v>
      </c>
      <c r="C208" s="1" t="s">
        <v>44</v>
      </c>
      <c r="D208">
        <v>0.65</v>
      </c>
    </row>
    <row r="209" spans="1:4" x14ac:dyDescent="0.3">
      <c r="A209" s="1" t="s">
        <v>21</v>
      </c>
      <c r="B209" s="1" t="s">
        <v>48</v>
      </c>
      <c r="C209" s="1" t="s">
        <v>45</v>
      </c>
      <c r="D209">
        <v>0.65</v>
      </c>
    </row>
    <row r="210" spans="1:4" x14ac:dyDescent="0.3">
      <c r="A210" s="1" t="s">
        <v>21</v>
      </c>
      <c r="B210" s="1" t="s">
        <v>48</v>
      </c>
      <c r="C210" s="1" t="s">
        <v>46</v>
      </c>
      <c r="D210">
        <v>0.65</v>
      </c>
    </row>
    <row r="211" spans="1:4" x14ac:dyDescent="0.3">
      <c r="A211" s="1" t="s">
        <v>22</v>
      </c>
      <c r="B211" s="1" t="s">
        <v>48</v>
      </c>
      <c r="C211" s="1" t="s">
        <v>36</v>
      </c>
      <c r="D211">
        <v>0.79</v>
      </c>
    </row>
    <row r="212" spans="1:4" x14ac:dyDescent="0.3">
      <c r="A212" s="1" t="s">
        <v>22</v>
      </c>
      <c r="B212" s="1" t="s">
        <v>48</v>
      </c>
      <c r="C212" s="1" t="s">
        <v>37</v>
      </c>
      <c r="D212">
        <v>0.79</v>
      </c>
    </row>
    <row r="213" spans="1:4" x14ac:dyDescent="0.3">
      <c r="A213" s="1" t="s">
        <v>22</v>
      </c>
      <c r="B213" s="1" t="s">
        <v>48</v>
      </c>
      <c r="C213" s="1" t="s">
        <v>38</v>
      </c>
      <c r="D213">
        <v>0.79</v>
      </c>
    </row>
    <row r="214" spans="1:4" x14ac:dyDescent="0.3">
      <c r="A214" s="1" t="s">
        <v>22</v>
      </c>
      <c r="B214" s="1" t="s">
        <v>48</v>
      </c>
      <c r="C214" s="1" t="s">
        <v>39</v>
      </c>
      <c r="D214">
        <v>0.79</v>
      </c>
    </row>
    <row r="215" spans="1:4" x14ac:dyDescent="0.3">
      <c r="A215" s="1" t="s">
        <v>22</v>
      </c>
      <c r="B215" s="1" t="s">
        <v>48</v>
      </c>
      <c r="C215" s="1" t="s">
        <v>40</v>
      </c>
      <c r="D215">
        <v>0.75</v>
      </c>
    </row>
    <row r="216" spans="1:4" x14ac:dyDescent="0.3">
      <c r="A216" s="1" t="s">
        <v>22</v>
      </c>
      <c r="B216" s="1" t="s">
        <v>48</v>
      </c>
      <c r="C216" s="1" t="s">
        <v>41</v>
      </c>
      <c r="D216">
        <v>0.71</v>
      </c>
    </row>
    <row r="217" spans="1:4" x14ac:dyDescent="0.3">
      <c r="A217" s="1" t="s">
        <v>22</v>
      </c>
      <c r="B217" s="1" t="s">
        <v>48</v>
      </c>
      <c r="C217" s="1" t="s">
        <v>42</v>
      </c>
      <c r="D217">
        <v>0.67</v>
      </c>
    </row>
    <row r="218" spans="1:4" x14ac:dyDescent="0.3">
      <c r="A218" s="1" t="s">
        <v>22</v>
      </c>
      <c r="B218" s="1" t="s">
        <v>48</v>
      </c>
      <c r="C218" s="1" t="s">
        <v>43</v>
      </c>
      <c r="D218">
        <v>0.63</v>
      </c>
    </row>
    <row r="219" spans="1:4" x14ac:dyDescent="0.3">
      <c r="A219" s="1" t="s">
        <v>22</v>
      </c>
      <c r="B219" s="1" t="s">
        <v>48</v>
      </c>
      <c r="C219" s="1" t="s">
        <v>44</v>
      </c>
      <c r="D219">
        <v>0.59</v>
      </c>
    </row>
    <row r="220" spans="1:4" x14ac:dyDescent="0.3">
      <c r="A220" s="1" t="s">
        <v>22</v>
      </c>
      <c r="B220" s="1" t="s">
        <v>48</v>
      </c>
      <c r="C220" s="1" t="s">
        <v>45</v>
      </c>
      <c r="D220">
        <v>0.59</v>
      </c>
    </row>
    <row r="221" spans="1:4" x14ac:dyDescent="0.3">
      <c r="A221" s="1" t="s">
        <v>22</v>
      </c>
      <c r="B221" s="1" t="s">
        <v>48</v>
      </c>
      <c r="C221" s="1" t="s">
        <v>46</v>
      </c>
      <c r="D221">
        <v>0.59</v>
      </c>
    </row>
    <row r="222" spans="1:4" x14ac:dyDescent="0.3">
      <c r="A222" s="1" t="s">
        <v>23</v>
      </c>
      <c r="B222" s="1" t="s">
        <v>48</v>
      </c>
      <c r="C222" s="1" t="s">
        <v>36</v>
      </c>
      <c r="D222">
        <v>0.86</v>
      </c>
    </row>
    <row r="223" spans="1:4" x14ac:dyDescent="0.3">
      <c r="A223" s="1" t="s">
        <v>23</v>
      </c>
      <c r="B223" s="1" t="s">
        <v>48</v>
      </c>
      <c r="C223" s="1" t="s">
        <v>37</v>
      </c>
      <c r="D223">
        <v>0.86</v>
      </c>
    </row>
    <row r="224" spans="1:4" x14ac:dyDescent="0.3">
      <c r="A224" s="1" t="s">
        <v>23</v>
      </c>
      <c r="B224" s="1" t="s">
        <v>48</v>
      </c>
      <c r="C224" s="1" t="s">
        <v>38</v>
      </c>
      <c r="D224">
        <v>0.86</v>
      </c>
    </row>
    <row r="225" spans="1:4" x14ac:dyDescent="0.3">
      <c r="A225" s="1" t="s">
        <v>23</v>
      </c>
      <c r="B225" s="1" t="s">
        <v>48</v>
      </c>
      <c r="C225" s="1" t="s">
        <v>39</v>
      </c>
      <c r="D225">
        <v>0.86</v>
      </c>
    </row>
    <row r="226" spans="1:4" x14ac:dyDescent="0.3">
      <c r="A226" s="1" t="s">
        <v>23</v>
      </c>
      <c r="B226" s="1" t="s">
        <v>48</v>
      </c>
      <c r="C226" s="1" t="s">
        <v>40</v>
      </c>
      <c r="D226">
        <v>0.82</v>
      </c>
    </row>
    <row r="227" spans="1:4" x14ac:dyDescent="0.3">
      <c r="A227" s="1" t="s">
        <v>23</v>
      </c>
      <c r="B227" s="1" t="s">
        <v>48</v>
      </c>
      <c r="C227" s="1" t="s">
        <v>41</v>
      </c>
      <c r="D227">
        <v>0.77</v>
      </c>
    </row>
    <row r="228" spans="1:4" x14ac:dyDescent="0.3">
      <c r="A228" s="1" t="s">
        <v>23</v>
      </c>
      <c r="B228" s="1" t="s">
        <v>48</v>
      </c>
      <c r="C228" s="1" t="s">
        <v>42</v>
      </c>
      <c r="D228">
        <v>0.73</v>
      </c>
    </row>
    <row r="229" spans="1:4" x14ac:dyDescent="0.3">
      <c r="A229" s="1" t="s">
        <v>23</v>
      </c>
      <c r="B229" s="1" t="s">
        <v>48</v>
      </c>
      <c r="C229" s="1" t="s">
        <v>43</v>
      </c>
      <c r="D229">
        <v>0.69</v>
      </c>
    </row>
    <row r="230" spans="1:4" x14ac:dyDescent="0.3">
      <c r="A230" s="1" t="s">
        <v>23</v>
      </c>
      <c r="B230" s="1" t="s">
        <v>48</v>
      </c>
      <c r="C230" s="1" t="s">
        <v>44</v>
      </c>
      <c r="D230">
        <v>0.65</v>
      </c>
    </row>
    <row r="231" spans="1:4" x14ac:dyDescent="0.3">
      <c r="A231" s="1" t="s">
        <v>23</v>
      </c>
      <c r="B231" s="1" t="s">
        <v>48</v>
      </c>
      <c r="C231" s="1" t="s">
        <v>45</v>
      </c>
      <c r="D231">
        <v>0.65</v>
      </c>
    </row>
    <row r="232" spans="1:4" x14ac:dyDescent="0.3">
      <c r="A232" s="1" t="s">
        <v>23</v>
      </c>
      <c r="B232" s="1" t="s">
        <v>48</v>
      </c>
      <c r="C232" s="1" t="s">
        <v>46</v>
      </c>
      <c r="D232">
        <v>0.65</v>
      </c>
    </row>
    <row r="233" spans="1:4" x14ac:dyDescent="0.3">
      <c r="A233" s="1" t="s">
        <v>24</v>
      </c>
      <c r="B233" s="1" t="s">
        <v>48</v>
      </c>
      <c r="C233" s="1" t="s">
        <v>36</v>
      </c>
      <c r="D233">
        <v>0</v>
      </c>
    </row>
    <row r="234" spans="1:4" x14ac:dyDescent="0.3">
      <c r="A234" s="1" t="s">
        <v>24</v>
      </c>
      <c r="B234" s="1" t="s">
        <v>48</v>
      </c>
      <c r="C234" s="1" t="s">
        <v>37</v>
      </c>
      <c r="D234">
        <v>0</v>
      </c>
    </row>
    <row r="235" spans="1:4" x14ac:dyDescent="0.3">
      <c r="A235" s="1" t="s">
        <v>24</v>
      </c>
      <c r="B235" s="1" t="s">
        <v>48</v>
      </c>
      <c r="C235" s="1" t="s">
        <v>38</v>
      </c>
      <c r="D235">
        <v>0</v>
      </c>
    </row>
    <row r="236" spans="1:4" x14ac:dyDescent="0.3">
      <c r="A236" s="1" t="s">
        <v>24</v>
      </c>
      <c r="B236" s="1" t="s">
        <v>48</v>
      </c>
      <c r="C236" s="1" t="s">
        <v>39</v>
      </c>
      <c r="D236">
        <v>0</v>
      </c>
    </row>
    <row r="237" spans="1:4" x14ac:dyDescent="0.3">
      <c r="A237" s="1" t="s">
        <v>24</v>
      </c>
      <c r="B237" s="1" t="s">
        <v>48</v>
      </c>
      <c r="C237" s="1" t="s">
        <v>40</v>
      </c>
      <c r="D237">
        <v>0</v>
      </c>
    </row>
    <row r="238" spans="1:4" x14ac:dyDescent="0.3">
      <c r="A238" s="1" t="s">
        <v>24</v>
      </c>
      <c r="B238" s="1" t="s">
        <v>48</v>
      </c>
      <c r="C238" s="1" t="s">
        <v>41</v>
      </c>
      <c r="D238">
        <v>0</v>
      </c>
    </row>
    <row r="239" spans="1:4" x14ac:dyDescent="0.3">
      <c r="A239" s="1" t="s">
        <v>24</v>
      </c>
      <c r="B239" s="1" t="s">
        <v>48</v>
      </c>
      <c r="C239" s="1" t="s">
        <v>42</v>
      </c>
      <c r="D239">
        <v>0</v>
      </c>
    </row>
    <row r="240" spans="1:4" x14ac:dyDescent="0.3">
      <c r="A240" s="1" t="s">
        <v>24</v>
      </c>
      <c r="B240" s="1" t="s">
        <v>48</v>
      </c>
      <c r="C240" s="1" t="s">
        <v>43</v>
      </c>
      <c r="D240">
        <v>0</v>
      </c>
    </row>
    <row r="241" spans="1:4" x14ac:dyDescent="0.3">
      <c r="A241" s="1" t="s">
        <v>24</v>
      </c>
      <c r="B241" s="1" t="s">
        <v>48</v>
      </c>
      <c r="C241" s="1" t="s">
        <v>44</v>
      </c>
      <c r="D241">
        <v>0</v>
      </c>
    </row>
    <row r="242" spans="1:4" x14ac:dyDescent="0.3">
      <c r="A242" s="1" t="s">
        <v>24</v>
      </c>
      <c r="B242" s="1" t="s">
        <v>48</v>
      </c>
      <c r="C242" s="1" t="s">
        <v>45</v>
      </c>
      <c r="D242">
        <v>0</v>
      </c>
    </row>
    <row r="243" spans="1:4" x14ac:dyDescent="0.3">
      <c r="A243" s="1" t="s">
        <v>24</v>
      </c>
      <c r="B243" s="1" t="s">
        <v>48</v>
      </c>
      <c r="C243" s="1" t="s">
        <v>46</v>
      </c>
      <c r="D243">
        <v>0</v>
      </c>
    </row>
    <row r="244" spans="1:4" x14ac:dyDescent="0.3">
      <c r="A244" s="1" t="s">
        <v>25</v>
      </c>
      <c r="B244" s="1" t="s">
        <v>48</v>
      </c>
      <c r="C244" s="1" t="s">
        <v>36</v>
      </c>
      <c r="D244">
        <v>0.85</v>
      </c>
    </row>
    <row r="245" spans="1:4" x14ac:dyDescent="0.3">
      <c r="A245" s="1" t="s">
        <v>25</v>
      </c>
      <c r="B245" s="1" t="s">
        <v>48</v>
      </c>
      <c r="C245" s="1" t="s">
        <v>37</v>
      </c>
      <c r="D245">
        <v>0.85</v>
      </c>
    </row>
    <row r="246" spans="1:4" x14ac:dyDescent="0.3">
      <c r="A246" s="1" t="s">
        <v>25</v>
      </c>
      <c r="B246" s="1" t="s">
        <v>48</v>
      </c>
      <c r="C246" s="1" t="s">
        <v>38</v>
      </c>
      <c r="D246">
        <v>0.85</v>
      </c>
    </row>
    <row r="247" spans="1:4" x14ac:dyDescent="0.3">
      <c r="A247" s="1" t="s">
        <v>25</v>
      </c>
      <c r="B247" s="1" t="s">
        <v>48</v>
      </c>
      <c r="C247" s="1" t="s">
        <v>39</v>
      </c>
      <c r="D247">
        <v>0.85</v>
      </c>
    </row>
    <row r="248" spans="1:4" x14ac:dyDescent="0.3">
      <c r="A248" s="1" t="s">
        <v>25</v>
      </c>
      <c r="B248" s="1" t="s">
        <v>48</v>
      </c>
      <c r="C248" s="1" t="s">
        <v>40</v>
      </c>
      <c r="D248">
        <v>0.81</v>
      </c>
    </row>
    <row r="249" spans="1:4" x14ac:dyDescent="0.3">
      <c r="A249" s="1" t="s">
        <v>25</v>
      </c>
      <c r="B249" s="1" t="s">
        <v>48</v>
      </c>
      <c r="C249" s="1" t="s">
        <v>41</v>
      </c>
      <c r="D249">
        <v>0.77</v>
      </c>
    </row>
    <row r="250" spans="1:4" x14ac:dyDescent="0.3">
      <c r="A250" s="1" t="s">
        <v>25</v>
      </c>
      <c r="B250" s="1" t="s">
        <v>48</v>
      </c>
      <c r="C250" s="1" t="s">
        <v>42</v>
      </c>
      <c r="D250">
        <v>0.72</v>
      </c>
    </row>
    <row r="251" spans="1:4" x14ac:dyDescent="0.3">
      <c r="A251" s="1" t="s">
        <v>25</v>
      </c>
      <c r="B251" s="1" t="s">
        <v>48</v>
      </c>
      <c r="C251" s="1" t="s">
        <v>43</v>
      </c>
      <c r="D251">
        <v>0.68</v>
      </c>
    </row>
    <row r="252" spans="1:4" x14ac:dyDescent="0.3">
      <c r="A252" s="1" t="s">
        <v>25</v>
      </c>
      <c r="B252" s="1" t="s">
        <v>48</v>
      </c>
      <c r="C252" s="1" t="s">
        <v>44</v>
      </c>
      <c r="D252">
        <v>0.64</v>
      </c>
    </row>
    <row r="253" spans="1:4" x14ac:dyDescent="0.3">
      <c r="A253" s="1" t="s">
        <v>25</v>
      </c>
      <c r="B253" s="1" t="s">
        <v>48</v>
      </c>
      <c r="C253" s="1" t="s">
        <v>45</v>
      </c>
      <c r="D253">
        <v>0.64</v>
      </c>
    </row>
    <row r="254" spans="1:4" x14ac:dyDescent="0.3">
      <c r="A254" s="1" t="s">
        <v>25</v>
      </c>
      <c r="B254" s="1" t="s">
        <v>48</v>
      </c>
      <c r="C254" s="1" t="s">
        <v>46</v>
      </c>
      <c r="D254">
        <v>0.64</v>
      </c>
    </row>
    <row r="255" spans="1:4" x14ac:dyDescent="0.3">
      <c r="A255" s="1" t="s">
        <v>26</v>
      </c>
      <c r="B255" s="1" t="s">
        <v>48</v>
      </c>
      <c r="C255" s="1" t="s">
        <v>36</v>
      </c>
      <c r="D255">
        <v>1</v>
      </c>
    </row>
    <row r="256" spans="1:4" x14ac:dyDescent="0.3">
      <c r="A256" s="1" t="s">
        <v>26</v>
      </c>
      <c r="B256" s="1" t="s">
        <v>48</v>
      </c>
      <c r="C256" s="1" t="s">
        <v>37</v>
      </c>
      <c r="D256">
        <v>1</v>
      </c>
    </row>
    <row r="257" spans="1:4" x14ac:dyDescent="0.3">
      <c r="A257" s="1" t="s">
        <v>26</v>
      </c>
      <c r="B257" s="1" t="s">
        <v>48</v>
      </c>
      <c r="C257" s="1" t="s">
        <v>38</v>
      </c>
      <c r="D257">
        <v>1</v>
      </c>
    </row>
    <row r="258" spans="1:4" x14ac:dyDescent="0.3">
      <c r="A258" s="1" t="s">
        <v>26</v>
      </c>
      <c r="B258" s="1" t="s">
        <v>48</v>
      </c>
      <c r="C258" s="1" t="s">
        <v>39</v>
      </c>
      <c r="D258">
        <v>1</v>
      </c>
    </row>
    <row r="259" spans="1:4" x14ac:dyDescent="0.3">
      <c r="A259" s="1" t="s">
        <v>26</v>
      </c>
      <c r="B259" s="1" t="s">
        <v>48</v>
      </c>
      <c r="C259" s="1" t="s">
        <v>40</v>
      </c>
      <c r="D259">
        <v>0.95</v>
      </c>
    </row>
    <row r="260" spans="1:4" x14ac:dyDescent="0.3">
      <c r="A260" s="1" t="s">
        <v>26</v>
      </c>
      <c r="B260" s="1" t="s">
        <v>48</v>
      </c>
      <c r="C260" s="1" t="s">
        <v>41</v>
      </c>
      <c r="D260">
        <v>0.9</v>
      </c>
    </row>
    <row r="261" spans="1:4" x14ac:dyDescent="0.3">
      <c r="A261" s="1" t="s">
        <v>26</v>
      </c>
      <c r="B261" s="1" t="s">
        <v>48</v>
      </c>
      <c r="C261" s="1" t="s">
        <v>42</v>
      </c>
      <c r="D261">
        <v>0.85</v>
      </c>
    </row>
    <row r="262" spans="1:4" x14ac:dyDescent="0.3">
      <c r="A262" s="1" t="s">
        <v>26</v>
      </c>
      <c r="B262" s="1" t="s">
        <v>48</v>
      </c>
      <c r="C262" s="1" t="s">
        <v>43</v>
      </c>
      <c r="D262">
        <v>0.8</v>
      </c>
    </row>
    <row r="263" spans="1:4" x14ac:dyDescent="0.3">
      <c r="A263" s="1" t="s">
        <v>26</v>
      </c>
      <c r="B263" s="1" t="s">
        <v>48</v>
      </c>
      <c r="C263" s="1" t="s">
        <v>44</v>
      </c>
      <c r="D263">
        <v>0.75</v>
      </c>
    </row>
    <row r="264" spans="1:4" x14ac:dyDescent="0.3">
      <c r="A264" s="1" t="s">
        <v>26</v>
      </c>
      <c r="B264" s="1" t="s">
        <v>48</v>
      </c>
      <c r="C264" s="1" t="s">
        <v>45</v>
      </c>
      <c r="D264">
        <v>0.75</v>
      </c>
    </row>
    <row r="265" spans="1:4" x14ac:dyDescent="0.3">
      <c r="A265" s="1" t="s">
        <v>26</v>
      </c>
      <c r="B265" s="1" t="s">
        <v>48</v>
      </c>
      <c r="C265" s="1" t="s">
        <v>46</v>
      </c>
      <c r="D265">
        <v>0.75</v>
      </c>
    </row>
    <row r="266" spans="1:4" x14ac:dyDescent="0.3">
      <c r="A266" s="1" t="s">
        <v>27</v>
      </c>
      <c r="B266" s="1" t="s">
        <v>48</v>
      </c>
      <c r="C266" s="1" t="s">
        <v>36</v>
      </c>
      <c r="D266">
        <v>1</v>
      </c>
    </row>
    <row r="267" spans="1:4" x14ac:dyDescent="0.3">
      <c r="A267" s="1" t="s">
        <v>27</v>
      </c>
      <c r="B267" s="1" t="s">
        <v>48</v>
      </c>
      <c r="C267" s="1" t="s">
        <v>37</v>
      </c>
      <c r="D267">
        <v>1</v>
      </c>
    </row>
    <row r="268" spans="1:4" x14ac:dyDescent="0.3">
      <c r="A268" s="1" t="s">
        <v>27</v>
      </c>
      <c r="B268" s="1" t="s">
        <v>48</v>
      </c>
      <c r="C268" s="1" t="s">
        <v>38</v>
      </c>
      <c r="D268">
        <v>1</v>
      </c>
    </row>
    <row r="269" spans="1:4" x14ac:dyDescent="0.3">
      <c r="A269" s="1" t="s">
        <v>27</v>
      </c>
      <c r="B269" s="1" t="s">
        <v>48</v>
      </c>
      <c r="C269" s="1" t="s">
        <v>39</v>
      </c>
      <c r="D269">
        <v>1</v>
      </c>
    </row>
    <row r="270" spans="1:4" x14ac:dyDescent="0.3">
      <c r="A270" s="1" t="s">
        <v>27</v>
      </c>
      <c r="B270" s="1" t="s">
        <v>48</v>
      </c>
      <c r="C270" s="1" t="s">
        <v>40</v>
      </c>
      <c r="D270">
        <v>0.95</v>
      </c>
    </row>
    <row r="271" spans="1:4" x14ac:dyDescent="0.3">
      <c r="A271" s="1" t="s">
        <v>27</v>
      </c>
      <c r="B271" s="1" t="s">
        <v>48</v>
      </c>
      <c r="C271" s="1" t="s">
        <v>41</v>
      </c>
      <c r="D271">
        <v>0.9</v>
      </c>
    </row>
    <row r="272" spans="1:4" x14ac:dyDescent="0.3">
      <c r="A272" s="1" t="s">
        <v>27</v>
      </c>
      <c r="B272" s="1" t="s">
        <v>48</v>
      </c>
      <c r="C272" s="1" t="s">
        <v>42</v>
      </c>
      <c r="D272">
        <v>0.85</v>
      </c>
    </row>
    <row r="273" spans="1:4" x14ac:dyDescent="0.3">
      <c r="A273" s="1" t="s">
        <v>27</v>
      </c>
      <c r="B273" s="1" t="s">
        <v>48</v>
      </c>
      <c r="C273" s="1" t="s">
        <v>43</v>
      </c>
      <c r="D273">
        <v>0.8</v>
      </c>
    </row>
    <row r="274" spans="1:4" x14ac:dyDescent="0.3">
      <c r="A274" s="1" t="s">
        <v>27</v>
      </c>
      <c r="B274" s="1" t="s">
        <v>48</v>
      </c>
      <c r="C274" s="1" t="s">
        <v>44</v>
      </c>
      <c r="D274">
        <v>0.75</v>
      </c>
    </row>
    <row r="275" spans="1:4" x14ac:dyDescent="0.3">
      <c r="A275" s="1" t="s">
        <v>27</v>
      </c>
      <c r="B275" s="1" t="s">
        <v>48</v>
      </c>
      <c r="C275" s="1" t="s">
        <v>45</v>
      </c>
      <c r="D275">
        <v>0.75</v>
      </c>
    </row>
    <row r="276" spans="1:4" x14ac:dyDescent="0.3">
      <c r="A276" s="1" t="s">
        <v>27</v>
      </c>
      <c r="B276" s="1" t="s">
        <v>48</v>
      </c>
      <c r="C276" s="1" t="s">
        <v>46</v>
      </c>
      <c r="D276">
        <v>0.75</v>
      </c>
    </row>
    <row r="277" spans="1:4" x14ac:dyDescent="0.3">
      <c r="A277" s="1" t="s">
        <v>28</v>
      </c>
      <c r="B277" s="1" t="s">
        <v>48</v>
      </c>
      <c r="C277" s="1" t="s">
        <v>36</v>
      </c>
      <c r="D277">
        <v>0.88</v>
      </c>
    </row>
    <row r="278" spans="1:4" x14ac:dyDescent="0.3">
      <c r="A278" s="1" t="s">
        <v>28</v>
      </c>
      <c r="B278" s="1" t="s">
        <v>48</v>
      </c>
      <c r="C278" s="1" t="s">
        <v>37</v>
      </c>
      <c r="D278">
        <v>0.88</v>
      </c>
    </row>
    <row r="279" spans="1:4" x14ac:dyDescent="0.3">
      <c r="A279" s="1" t="s">
        <v>28</v>
      </c>
      <c r="B279" s="1" t="s">
        <v>48</v>
      </c>
      <c r="C279" s="1" t="s">
        <v>38</v>
      </c>
      <c r="D279">
        <v>0.88</v>
      </c>
    </row>
    <row r="280" spans="1:4" x14ac:dyDescent="0.3">
      <c r="A280" s="1" t="s">
        <v>28</v>
      </c>
      <c r="B280" s="1" t="s">
        <v>48</v>
      </c>
      <c r="C280" s="1" t="s">
        <v>39</v>
      </c>
      <c r="D280">
        <v>0.88</v>
      </c>
    </row>
    <row r="281" spans="1:4" x14ac:dyDescent="0.3">
      <c r="A281" s="1" t="s">
        <v>28</v>
      </c>
      <c r="B281" s="1" t="s">
        <v>48</v>
      </c>
      <c r="C281" s="1" t="s">
        <v>40</v>
      </c>
      <c r="D281">
        <v>0.84</v>
      </c>
    </row>
    <row r="282" spans="1:4" x14ac:dyDescent="0.3">
      <c r="A282" s="1" t="s">
        <v>28</v>
      </c>
      <c r="B282" s="1" t="s">
        <v>48</v>
      </c>
      <c r="C282" s="1" t="s">
        <v>41</v>
      </c>
      <c r="D282">
        <v>0.79</v>
      </c>
    </row>
    <row r="283" spans="1:4" x14ac:dyDescent="0.3">
      <c r="A283" s="1" t="s">
        <v>28</v>
      </c>
      <c r="B283" s="1" t="s">
        <v>48</v>
      </c>
      <c r="C283" s="1" t="s">
        <v>42</v>
      </c>
      <c r="D283">
        <v>0.75</v>
      </c>
    </row>
    <row r="284" spans="1:4" x14ac:dyDescent="0.3">
      <c r="A284" s="1" t="s">
        <v>28</v>
      </c>
      <c r="B284" s="1" t="s">
        <v>48</v>
      </c>
      <c r="C284" s="1" t="s">
        <v>43</v>
      </c>
      <c r="D284">
        <v>0.7</v>
      </c>
    </row>
    <row r="285" spans="1:4" x14ac:dyDescent="0.3">
      <c r="A285" s="1" t="s">
        <v>28</v>
      </c>
      <c r="B285" s="1" t="s">
        <v>48</v>
      </c>
      <c r="C285" s="1" t="s">
        <v>44</v>
      </c>
      <c r="D285">
        <v>0.66</v>
      </c>
    </row>
    <row r="286" spans="1:4" x14ac:dyDescent="0.3">
      <c r="A286" s="1" t="s">
        <v>28</v>
      </c>
      <c r="B286" s="1" t="s">
        <v>48</v>
      </c>
      <c r="C286" s="1" t="s">
        <v>45</v>
      </c>
      <c r="D286">
        <v>0.66</v>
      </c>
    </row>
    <row r="287" spans="1:4" x14ac:dyDescent="0.3">
      <c r="A287" s="1" t="s">
        <v>28</v>
      </c>
      <c r="B287" s="1" t="s">
        <v>48</v>
      </c>
      <c r="C287" s="1" t="s">
        <v>46</v>
      </c>
      <c r="D287">
        <v>0.66</v>
      </c>
    </row>
    <row r="288" spans="1:4" x14ac:dyDescent="0.3">
      <c r="A288" s="1" t="s">
        <v>29</v>
      </c>
      <c r="B288" s="1" t="s">
        <v>48</v>
      </c>
      <c r="C288" s="1" t="s">
        <v>36</v>
      </c>
      <c r="D288">
        <v>0.81</v>
      </c>
    </row>
    <row r="289" spans="1:4" x14ac:dyDescent="0.3">
      <c r="A289" s="1" t="s">
        <v>29</v>
      </c>
      <c r="B289" s="1" t="s">
        <v>48</v>
      </c>
      <c r="C289" s="1" t="s">
        <v>37</v>
      </c>
      <c r="D289">
        <v>0.81</v>
      </c>
    </row>
    <row r="290" spans="1:4" x14ac:dyDescent="0.3">
      <c r="A290" s="1" t="s">
        <v>29</v>
      </c>
      <c r="B290" s="1" t="s">
        <v>48</v>
      </c>
      <c r="C290" s="1" t="s">
        <v>38</v>
      </c>
      <c r="D290">
        <v>0.81</v>
      </c>
    </row>
    <row r="291" spans="1:4" x14ac:dyDescent="0.3">
      <c r="A291" s="1" t="s">
        <v>29</v>
      </c>
      <c r="B291" s="1" t="s">
        <v>48</v>
      </c>
      <c r="C291" s="1" t="s">
        <v>39</v>
      </c>
      <c r="D291">
        <v>0.81</v>
      </c>
    </row>
    <row r="292" spans="1:4" x14ac:dyDescent="0.3">
      <c r="A292" s="1" t="s">
        <v>29</v>
      </c>
      <c r="B292" s="1" t="s">
        <v>48</v>
      </c>
      <c r="C292" s="1" t="s">
        <v>40</v>
      </c>
      <c r="D292">
        <v>0.77</v>
      </c>
    </row>
    <row r="293" spans="1:4" x14ac:dyDescent="0.3">
      <c r="A293" s="1" t="s">
        <v>29</v>
      </c>
      <c r="B293" s="1" t="s">
        <v>48</v>
      </c>
      <c r="C293" s="1" t="s">
        <v>41</v>
      </c>
      <c r="D293">
        <v>0.73</v>
      </c>
    </row>
    <row r="294" spans="1:4" x14ac:dyDescent="0.3">
      <c r="A294" s="1" t="s">
        <v>29</v>
      </c>
      <c r="B294" s="1" t="s">
        <v>48</v>
      </c>
      <c r="C294" s="1" t="s">
        <v>42</v>
      </c>
      <c r="D294">
        <v>0.69</v>
      </c>
    </row>
    <row r="295" spans="1:4" x14ac:dyDescent="0.3">
      <c r="A295" s="1" t="s">
        <v>29</v>
      </c>
      <c r="B295" s="1" t="s">
        <v>48</v>
      </c>
      <c r="C295" s="1" t="s">
        <v>43</v>
      </c>
      <c r="D295">
        <v>0.65</v>
      </c>
    </row>
    <row r="296" spans="1:4" x14ac:dyDescent="0.3">
      <c r="A296" s="1" t="s">
        <v>29</v>
      </c>
      <c r="B296" s="1" t="s">
        <v>48</v>
      </c>
      <c r="C296" s="1" t="s">
        <v>44</v>
      </c>
      <c r="D296">
        <v>0.61</v>
      </c>
    </row>
    <row r="297" spans="1:4" x14ac:dyDescent="0.3">
      <c r="A297" s="1" t="s">
        <v>29</v>
      </c>
      <c r="B297" s="1" t="s">
        <v>48</v>
      </c>
      <c r="C297" s="1" t="s">
        <v>45</v>
      </c>
      <c r="D297">
        <v>0.61</v>
      </c>
    </row>
    <row r="298" spans="1:4" x14ac:dyDescent="0.3">
      <c r="A298" s="1" t="s">
        <v>29</v>
      </c>
      <c r="B298" s="1" t="s">
        <v>48</v>
      </c>
      <c r="C298" s="1" t="s">
        <v>46</v>
      </c>
      <c r="D298">
        <v>0.61</v>
      </c>
    </row>
    <row r="299" spans="1:4" x14ac:dyDescent="0.3">
      <c r="A299" s="1" t="s">
        <v>30</v>
      </c>
      <c r="B299" s="1" t="s">
        <v>48</v>
      </c>
      <c r="C299" s="1" t="s">
        <v>36</v>
      </c>
      <c r="D299">
        <v>0.61</v>
      </c>
    </row>
    <row r="300" spans="1:4" x14ac:dyDescent="0.3">
      <c r="A300" s="1" t="s">
        <v>30</v>
      </c>
      <c r="B300" s="1" t="s">
        <v>48</v>
      </c>
      <c r="C300" s="1" t="s">
        <v>37</v>
      </c>
      <c r="D300">
        <v>0.61</v>
      </c>
    </row>
    <row r="301" spans="1:4" x14ac:dyDescent="0.3">
      <c r="A301" s="1" t="s">
        <v>30</v>
      </c>
      <c r="B301" s="1" t="s">
        <v>48</v>
      </c>
      <c r="C301" s="1" t="s">
        <v>38</v>
      </c>
      <c r="D301">
        <v>0.61</v>
      </c>
    </row>
    <row r="302" spans="1:4" x14ac:dyDescent="0.3">
      <c r="A302" s="1" t="s">
        <v>30</v>
      </c>
      <c r="B302" s="1" t="s">
        <v>48</v>
      </c>
      <c r="C302" s="1" t="s">
        <v>39</v>
      </c>
      <c r="D302">
        <v>0.61</v>
      </c>
    </row>
    <row r="303" spans="1:4" x14ac:dyDescent="0.3">
      <c r="A303" s="1" t="s">
        <v>30</v>
      </c>
      <c r="B303" s="1" t="s">
        <v>48</v>
      </c>
      <c r="C303" s="1" t="s">
        <v>40</v>
      </c>
      <c r="D303">
        <v>0.57999999999999996</v>
      </c>
    </row>
    <row r="304" spans="1:4" x14ac:dyDescent="0.3">
      <c r="A304" s="1" t="s">
        <v>30</v>
      </c>
      <c r="B304" s="1" t="s">
        <v>48</v>
      </c>
      <c r="C304" s="1" t="s">
        <v>41</v>
      </c>
      <c r="D304">
        <v>0.55000000000000004</v>
      </c>
    </row>
    <row r="305" spans="1:4" x14ac:dyDescent="0.3">
      <c r="A305" s="1" t="s">
        <v>30</v>
      </c>
      <c r="B305" s="1" t="s">
        <v>48</v>
      </c>
      <c r="C305" s="1" t="s">
        <v>42</v>
      </c>
      <c r="D305">
        <v>0.52</v>
      </c>
    </row>
    <row r="306" spans="1:4" x14ac:dyDescent="0.3">
      <c r="A306" s="1" t="s">
        <v>30</v>
      </c>
      <c r="B306" s="1" t="s">
        <v>48</v>
      </c>
      <c r="C306" s="1" t="s">
        <v>43</v>
      </c>
      <c r="D306">
        <v>0.49</v>
      </c>
    </row>
    <row r="307" spans="1:4" x14ac:dyDescent="0.3">
      <c r="A307" s="1" t="s">
        <v>30</v>
      </c>
      <c r="B307" s="1" t="s">
        <v>48</v>
      </c>
      <c r="C307" s="1" t="s">
        <v>44</v>
      </c>
      <c r="D307">
        <v>0.46</v>
      </c>
    </row>
    <row r="308" spans="1:4" x14ac:dyDescent="0.3">
      <c r="A308" s="1" t="s">
        <v>30</v>
      </c>
      <c r="B308" s="1" t="s">
        <v>48</v>
      </c>
      <c r="C308" s="1" t="s">
        <v>45</v>
      </c>
      <c r="D308">
        <v>0.46</v>
      </c>
    </row>
    <row r="309" spans="1:4" x14ac:dyDescent="0.3">
      <c r="A309" s="1" t="s">
        <v>30</v>
      </c>
      <c r="B309" s="1" t="s">
        <v>48</v>
      </c>
      <c r="C309" s="1" t="s">
        <v>46</v>
      </c>
      <c r="D309">
        <v>0.46</v>
      </c>
    </row>
    <row r="310" spans="1:4" x14ac:dyDescent="0.3">
      <c r="A310" s="1" t="s">
        <v>31</v>
      </c>
      <c r="B310" s="1" t="s">
        <v>48</v>
      </c>
      <c r="C310" s="1" t="s">
        <v>36</v>
      </c>
      <c r="D310">
        <v>0</v>
      </c>
    </row>
    <row r="311" spans="1:4" x14ac:dyDescent="0.3">
      <c r="A311" s="1" t="s">
        <v>31</v>
      </c>
      <c r="B311" s="1" t="s">
        <v>48</v>
      </c>
      <c r="C311" s="1" t="s">
        <v>37</v>
      </c>
      <c r="D311">
        <v>0</v>
      </c>
    </row>
    <row r="312" spans="1:4" x14ac:dyDescent="0.3">
      <c r="A312" s="1" t="s">
        <v>31</v>
      </c>
      <c r="B312" s="1" t="s">
        <v>48</v>
      </c>
      <c r="C312" s="1" t="s">
        <v>38</v>
      </c>
      <c r="D312">
        <v>0</v>
      </c>
    </row>
    <row r="313" spans="1:4" x14ac:dyDescent="0.3">
      <c r="A313" s="1" t="s">
        <v>31</v>
      </c>
      <c r="B313" s="1" t="s">
        <v>48</v>
      </c>
      <c r="C313" s="1" t="s">
        <v>39</v>
      </c>
      <c r="D313">
        <v>0</v>
      </c>
    </row>
    <row r="314" spans="1:4" x14ac:dyDescent="0.3">
      <c r="A314" s="1" t="s">
        <v>31</v>
      </c>
      <c r="B314" s="1" t="s">
        <v>48</v>
      </c>
      <c r="C314" s="1" t="s">
        <v>40</v>
      </c>
      <c r="D314">
        <v>0</v>
      </c>
    </row>
    <row r="315" spans="1:4" x14ac:dyDescent="0.3">
      <c r="A315" s="1" t="s">
        <v>31</v>
      </c>
      <c r="B315" s="1" t="s">
        <v>48</v>
      </c>
      <c r="C315" s="1" t="s">
        <v>41</v>
      </c>
      <c r="D315">
        <v>0</v>
      </c>
    </row>
    <row r="316" spans="1:4" x14ac:dyDescent="0.3">
      <c r="A316" s="1" t="s">
        <v>31</v>
      </c>
      <c r="B316" s="1" t="s">
        <v>48</v>
      </c>
      <c r="C316" s="1" t="s">
        <v>42</v>
      </c>
      <c r="D316">
        <v>0</v>
      </c>
    </row>
    <row r="317" spans="1:4" x14ac:dyDescent="0.3">
      <c r="A317" s="1" t="s">
        <v>31</v>
      </c>
      <c r="B317" s="1" t="s">
        <v>48</v>
      </c>
      <c r="C317" s="1" t="s">
        <v>43</v>
      </c>
      <c r="D317">
        <v>0</v>
      </c>
    </row>
    <row r="318" spans="1:4" x14ac:dyDescent="0.3">
      <c r="A318" s="1" t="s">
        <v>31</v>
      </c>
      <c r="B318" s="1" t="s">
        <v>48</v>
      </c>
      <c r="C318" s="1" t="s">
        <v>44</v>
      </c>
      <c r="D318">
        <v>0</v>
      </c>
    </row>
    <row r="319" spans="1:4" x14ac:dyDescent="0.3">
      <c r="A319" s="1" t="s">
        <v>31</v>
      </c>
      <c r="B319" s="1" t="s">
        <v>48</v>
      </c>
      <c r="C319" s="1" t="s">
        <v>45</v>
      </c>
      <c r="D319">
        <v>0</v>
      </c>
    </row>
    <row r="320" spans="1:4" x14ac:dyDescent="0.3">
      <c r="A320" s="1" t="s">
        <v>31</v>
      </c>
      <c r="B320" s="1" t="s">
        <v>48</v>
      </c>
      <c r="C320" s="1" t="s">
        <v>46</v>
      </c>
      <c r="D320">
        <v>0</v>
      </c>
    </row>
    <row r="321" spans="1:4" x14ac:dyDescent="0.3">
      <c r="A321" s="1" t="s">
        <v>32</v>
      </c>
      <c r="B321" s="1" t="s">
        <v>48</v>
      </c>
      <c r="C321" s="1" t="s">
        <v>36</v>
      </c>
      <c r="D321">
        <v>1</v>
      </c>
    </row>
    <row r="322" spans="1:4" x14ac:dyDescent="0.3">
      <c r="A322" s="1" t="s">
        <v>32</v>
      </c>
      <c r="B322" s="1" t="s">
        <v>48</v>
      </c>
      <c r="C322" s="1" t="s">
        <v>37</v>
      </c>
      <c r="D322">
        <v>1</v>
      </c>
    </row>
    <row r="323" spans="1:4" x14ac:dyDescent="0.3">
      <c r="A323" s="1" t="s">
        <v>32</v>
      </c>
      <c r="B323" s="1" t="s">
        <v>48</v>
      </c>
      <c r="C323" s="1" t="s">
        <v>38</v>
      </c>
      <c r="D323">
        <v>1</v>
      </c>
    </row>
    <row r="324" spans="1:4" x14ac:dyDescent="0.3">
      <c r="A324" s="1" t="s">
        <v>32</v>
      </c>
      <c r="B324" s="1" t="s">
        <v>48</v>
      </c>
      <c r="C324" s="1" t="s">
        <v>39</v>
      </c>
      <c r="D324">
        <v>1</v>
      </c>
    </row>
    <row r="325" spans="1:4" x14ac:dyDescent="0.3">
      <c r="A325" s="1" t="s">
        <v>32</v>
      </c>
      <c r="B325" s="1" t="s">
        <v>48</v>
      </c>
      <c r="C325" s="1" t="s">
        <v>40</v>
      </c>
      <c r="D325">
        <v>0.95</v>
      </c>
    </row>
    <row r="326" spans="1:4" x14ac:dyDescent="0.3">
      <c r="A326" s="1" t="s">
        <v>32</v>
      </c>
      <c r="B326" s="1" t="s">
        <v>48</v>
      </c>
      <c r="C326" s="1" t="s">
        <v>41</v>
      </c>
      <c r="D326">
        <v>0.9</v>
      </c>
    </row>
    <row r="327" spans="1:4" x14ac:dyDescent="0.3">
      <c r="A327" s="1" t="s">
        <v>32</v>
      </c>
      <c r="B327" s="1" t="s">
        <v>48</v>
      </c>
      <c r="C327" s="1" t="s">
        <v>42</v>
      </c>
      <c r="D327">
        <v>0.85</v>
      </c>
    </row>
    <row r="328" spans="1:4" x14ac:dyDescent="0.3">
      <c r="A328" s="1" t="s">
        <v>32</v>
      </c>
      <c r="B328" s="1" t="s">
        <v>48</v>
      </c>
      <c r="C328" s="1" t="s">
        <v>43</v>
      </c>
      <c r="D328">
        <v>0.8</v>
      </c>
    </row>
    <row r="329" spans="1:4" x14ac:dyDescent="0.3">
      <c r="A329" s="1" t="s">
        <v>32</v>
      </c>
      <c r="B329" s="1" t="s">
        <v>48</v>
      </c>
      <c r="C329" s="1" t="s">
        <v>44</v>
      </c>
      <c r="D329">
        <v>0.75</v>
      </c>
    </row>
    <row r="330" spans="1:4" x14ac:dyDescent="0.3">
      <c r="A330" s="1" t="s">
        <v>32</v>
      </c>
      <c r="B330" s="1" t="s">
        <v>48</v>
      </c>
      <c r="C330" s="1" t="s">
        <v>45</v>
      </c>
      <c r="D330">
        <v>0.75</v>
      </c>
    </row>
    <row r="331" spans="1:4" x14ac:dyDescent="0.3">
      <c r="A331" s="1" t="s">
        <v>32</v>
      </c>
      <c r="B331" s="1" t="s">
        <v>48</v>
      </c>
      <c r="C331" s="1" t="s">
        <v>46</v>
      </c>
      <c r="D331">
        <v>0.75</v>
      </c>
    </row>
    <row r="332" spans="1:4" x14ac:dyDescent="0.3">
      <c r="A332" s="1" t="s">
        <v>3</v>
      </c>
      <c r="B332" s="1" t="s">
        <v>49</v>
      </c>
      <c r="C332" s="1" t="s">
        <v>36</v>
      </c>
      <c r="D332">
        <v>0.16</v>
      </c>
    </row>
    <row r="333" spans="1:4" x14ac:dyDescent="0.3">
      <c r="A333" s="1" t="s">
        <v>3</v>
      </c>
      <c r="B333" s="1" t="s">
        <v>49</v>
      </c>
      <c r="C333" s="1" t="s">
        <v>37</v>
      </c>
      <c r="D333">
        <v>0.16</v>
      </c>
    </row>
    <row r="334" spans="1:4" x14ac:dyDescent="0.3">
      <c r="A334" s="1" t="s">
        <v>3</v>
      </c>
      <c r="B334" s="1" t="s">
        <v>49</v>
      </c>
      <c r="C334" s="1" t="s">
        <v>38</v>
      </c>
      <c r="D334">
        <v>0.16</v>
      </c>
    </row>
    <row r="335" spans="1:4" x14ac:dyDescent="0.3">
      <c r="A335" s="1" t="s">
        <v>3</v>
      </c>
      <c r="B335" s="1" t="s">
        <v>49</v>
      </c>
      <c r="C335" s="1" t="s">
        <v>39</v>
      </c>
      <c r="D335">
        <v>0.16</v>
      </c>
    </row>
    <row r="336" spans="1:4" x14ac:dyDescent="0.3">
      <c r="A336" s="1" t="s">
        <v>3</v>
      </c>
      <c r="B336" s="1" t="s">
        <v>49</v>
      </c>
      <c r="C336" s="1" t="s">
        <v>40</v>
      </c>
      <c r="D336">
        <v>0.15</v>
      </c>
    </row>
    <row r="337" spans="1:4" x14ac:dyDescent="0.3">
      <c r="A337" s="1" t="s">
        <v>3</v>
      </c>
      <c r="B337" s="1" t="s">
        <v>49</v>
      </c>
      <c r="C337" s="1" t="s">
        <v>41</v>
      </c>
      <c r="D337">
        <v>0.14000000000000001</v>
      </c>
    </row>
    <row r="338" spans="1:4" x14ac:dyDescent="0.3">
      <c r="A338" s="1" t="s">
        <v>3</v>
      </c>
      <c r="B338" s="1" t="s">
        <v>49</v>
      </c>
      <c r="C338" s="1" t="s">
        <v>42</v>
      </c>
      <c r="D338">
        <v>0.14000000000000001</v>
      </c>
    </row>
    <row r="339" spans="1:4" x14ac:dyDescent="0.3">
      <c r="A339" s="1" t="s">
        <v>3</v>
      </c>
      <c r="B339" s="1" t="s">
        <v>49</v>
      </c>
      <c r="C339" s="1" t="s">
        <v>43</v>
      </c>
      <c r="D339">
        <v>0.13</v>
      </c>
    </row>
    <row r="340" spans="1:4" x14ac:dyDescent="0.3">
      <c r="A340" s="1" t="s">
        <v>3</v>
      </c>
      <c r="B340" s="1" t="s">
        <v>49</v>
      </c>
      <c r="C340" s="1" t="s">
        <v>44</v>
      </c>
      <c r="D340">
        <v>0.12</v>
      </c>
    </row>
    <row r="341" spans="1:4" x14ac:dyDescent="0.3">
      <c r="A341" s="1" t="s">
        <v>3</v>
      </c>
      <c r="B341" s="1" t="s">
        <v>49</v>
      </c>
      <c r="C341" s="1" t="s">
        <v>45</v>
      </c>
      <c r="D341">
        <v>0.12</v>
      </c>
    </row>
    <row r="342" spans="1:4" x14ac:dyDescent="0.3">
      <c r="A342" s="1" t="s">
        <v>3</v>
      </c>
      <c r="B342" s="1" t="s">
        <v>49</v>
      </c>
      <c r="C342" s="1" t="s">
        <v>46</v>
      </c>
      <c r="D342">
        <v>0.12</v>
      </c>
    </row>
    <row r="343" spans="1:4" x14ac:dyDescent="0.3">
      <c r="A343" s="1" t="s">
        <v>4</v>
      </c>
      <c r="B343" s="1" t="s">
        <v>49</v>
      </c>
      <c r="C343" s="1" t="s">
        <v>36</v>
      </c>
      <c r="D343">
        <v>0.27</v>
      </c>
    </row>
    <row r="344" spans="1:4" x14ac:dyDescent="0.3">
      <c r="A344" s="1" t="s">
        <v>4</v>
      </c>
      <c r="B344" s="1" t="s">
        <v>49</v>
      </c>
      <c r="C344" s="1" t="s">
        <v>37</v>
      </c>
      <c r="D344">
        <v>0.27</v>
      </c>
    </row>
    <row r="345" spans="1:4" x14ac:dyDescent="0.3">
      <c r="A345" s="1" t="s">
        <v>4</v>
      </c>
      <c r="B345" s="1" t="s">
        <v>49</v>
      </c>
      <c r="C345" s="1" t="s">
        <v>38</v>
      </c>
      <c r="D345">
        <v>0.27</v>
      </c>
    </row>
    <row r="346" spans="1:4" x14ac:dyDescent="0.3">
      <c r="A346" s="1" t="s">
        <v>4</v>
      </c>
      <c r="B346" s="1" t="s">
        <v>49</v>
      </c>
      <c r="C346" s="1" t="s">
        <v>39</v>
      </c>
      <c r="D346">
        <v>0.27</v>
      </c>
    </row>
    <row r="347" spans="1:4" x14ac:dyDescent="0.3">
      <c r="A347" s="1" t="s">
        <v>4</v>
      </c>
      <c r="B347" s="1" t="s">
        <v>49</v>
      </c>
      <c r="C347" s="1" t="s">
        <v>40</v>
      </c>
      <c r="D347">
        <v>0.26</v>
      </c>
    </row>
    <row r="348" spans="1:4" x14ac:dyDescent="0.3">
      <c r="A348" s="1" t="s">
        <v>4</v>
      </c>
      <c r="B348" s="1" t="s">
        <v>49</v>
      </c>
      <c r="C348" s="1" t="s">
        <v>41</v>
      </c>
      <c r="D348">
        <v>0.24</v>
      </c>
    </row>
    <row r="349" spans="1:4" x14ac:dyDescent="0.3">
      <c r="A349" s="1" t="s">
        <v>4</v>
      </c>
      <c r="B349" s="1" t="s">
        <v>49</v>
      </c>
      <c r="C349" s="1" t="s">
        <v>42</v>
      </c>
      <c r="D349">
        <v>0.23</v>
      </c>
    </row>
    <row r="350" spans="1:4" x14ac:dyDescent="0.3">
      <c r="A350" s="1" t="s">
        <v>4</v>
      </c>
      <c r="B350" s="1" t="s">
        <v>49</v>
      </c>
      <c r="C350" s="1" t="s">
        <v>43</v>
      </c>
      <c r="D350">
        <v>0.22</v>
      </c>
    </row>
    <row r="351" spans="1:4" x14ac:dyDescent="0.3">
      <c r="A351" s="1" t="s">
        <v>4</v>
      </c>
      <c r="B351" s="1" t="s">
        <v>49</v>
      </c>
      <c r="C351" s="1" t="s">
        <v>44</v>
      </c>
      <c r="D351">
        <v>0.2</v>
      </c>
    </row>
    <row r="352" spans="1:4" x14ac:dyDescent="0.3">
      <c r="A352" s="1" t="s">
        <v>4</v>
      </c>
      <c r="B352" s="1" t="s">
        <v>49</v>
      </c>
      <c r="C352" s="1" t="s">
        <v>45</v>
      </c>
      <c r="D352">
        <v>0.2</v>
      </c>
    </row>
    <row r="353" spans="1:4" x14ac:dyDescent="0.3">
      <c r="A353" s="1" t="s">
        <v>4</v>
      </c>
      <c r="B353" s="1" t="s">
        <v>49</v>
      </c>
      <c r="C353" s="1" t="s">
        <v>46</v>
      </c>
      <c r="D353">
        <v>0.2</v>
      </c>
    </row>
    <row r="354" spans="1:4" x14ac:dyDescent="0.3">
      <c r="A354" s="1" t="s">
        <v>5</v>
      </c>
      <c r="B354" s="1" t="s">
        <v>49</v>
      </c>
      <c r="C354" s="1" t="s">
        <v>36</v>
      </c>
      <c r="D354">
        <v>0.11</v>
      </c>
    </row>
    <row r="355" spans="1:4" x14ac:dyDescent="0.3">
      <c r="A355" s="1" t="s">
        <v>5</v>
      </c>
      <c r="B355" s="1" t="s">
        <v>49</v>
      </c>
      <c r="C355" s="1" t="s">
        <v>37</v>
      </c>
      <c r="D355">
        <v>0.11</v>
      </c>
    </row>
    <row r="356" spans="1:4" x14ac:dyDescent="0.3">
      <c r="A356" s="1" t="s">
        <v>5</v>
      </c>
      <c r="B356" s="1" t="s">
        <v>49</v>
      </c>
      <c r="C356" s="1" t="s">
        <v>38</v>
      </c>
      <c r="D356">
        <v>0.11</v>
      </c>
    </row>
    <row r="357" spans="1:4" x14ac:dyDescent="0.3">
      <c r="A357" s="1" t="s">
        <v>5</v>
      </c>
      <c r="B357" s="1" t="s">
        <v>49</v>
      </c>
      <c r="C357" s="1" t="s">
        <v>39</v>
      </c>
      <c r="D357">
        <v>0.11</v>
      </c>
    </row>
    <row r="358" spans="1:4" x14ac:dyDescent="0.3">
      <c r="A358" s="1" t="s">
        <v>5</v>
      </c>
      <c r="B358" s="1" t="s">
        <v>49</v>
      </c>
      <c r="C358" s="1" t="s">
        <v>40</v>
      </c>
      <c r="D358">
        <v>0.1</v>
      </c>
    </row>
    <row r="359" spans="1:4" x14ac:dyDescent="0.3">
      <c r="A359" s="1" t="s">
        <v>5</v>
      </c>
      <c r="B359" s="1" t="s">
        <v>49</v>
      </c>
      <c r="C359" s="1" t="s">
        <v>41</v>
      </c>
      <c r="D359">
        <v>0.1</v>
      </c>
    </row>
    <row r="360" spans="1:4" x14ac:dyDescent="0.3">
      <c r="A360" s="1" t="s">
        <v>5</v>
      </c>
      <c r="B360" s="1" t="s">
        <v>49</v>
      </c>
      <c r="C360" s="1" t="s">
        <v>42</v>
      </c>
      <c r="D360">
        <v>0.09</v>
      </c>
    </row>
    <row r="361" spans="1:4" x14ac:dyDescent="0.3">
      <c r="A361" s="1" t="s">
        <v>5</v>
      </c>
      <c r="B361" s="1" t="s">
        <v>49</v>
      </c>
      <c r="C361" s="1" t="s">
        <v>43</v>
      </c>
      <c r="D361">
        <v>0.09</v>
      </c>
    </row>
    <row r="362" spans="1:4" x14ac:dyDescent="0.3">
      <c r="A362" s="1" t="s">
        <v>5</v>
      </c>
      <c r="B362" s="1" t="s">
        <v>49</v>
      </c>
      <c r="C362" s="1" t="s">
        <v>44</v>
      </c>
      <c r="D362">
        <v>0.08</v>
      </c>
    </row>
    <row r="363" spans="1:4" x14ac:dyDescent="0.3">
      <c r="A363" s="1" t="s">
        <v>5</v>
      </c>
      <c r="B363" s="1" t="s">
        <v>49</v>
      </c>
      <c r="C363" s="1" t="s">
        <v>45</v>
      </c>
      <c r="D363">
        <v>0.08</v>
      </c>
    </row>
    <row r="364" spans="1:4" x14ac:dyDescent="0.3">
      <c r="A364" s="1" t="s">
        <v>5</v>
      </c>
      <c r="B364" s="1" t="s">
        <v>49</v>
      </c>
      <c r="C364" s="1" t="s">
        <v>46</v>
      </c>
      <c r="D364">
        <v>0.08</v>
      </c>
    </row>
    <row r="365" spans="1:4" x14ac:dyDescent="0.3">
      <c r="A365" s="1" t="s">
        <v>6</v>
      </c>
      <c r="B365" s="1" t="s">
        <v>49</v>
      </c>
      <c r="C365" s="1" t="s">
        <v>36</v>
      </c>
      <c r="D365">
        <v>0</v>
      </c>
    </row>
    <row r="366" spans="1:4" x14ac:dyDescent="0.3">
      <c r="A366" s="1" t="s">
        <v>6</v>
      </c>
      <c r="B366" s="1" t="s">
        <v>49</v>
      </c>
      <c r="C366" s="1" t="s">
        <v>37</v>
      </c>
      <c r="D366">
        <v>0</v>
      </c>
    </row>
    <row r="367" spans="1:4" x14ac:dyDescent="0.3">
      <c r="A367" s="1" t="s">
        <v>6</v>
      </c>
      <c r="B367" s="1" t="s">
        <v>49</v>
      </c>
      <c r="C367" s="1" t="s">
        <v>38</v>
      </c>
      <c r="D367">
        <v>0</v>
      </c>
    </row>
    <row r="368" spans="1:4" x14ac:dyDescent="0.3">
      <c r="A368" s="1" t="s">
        <v>6</v>
      </c>
      <c r="B368" s="1" t="s">
        <v>49</v>
      </c>
      <c r="C368" s="1" t="s">
        <v>39</v>
      </c>
      <c r="D368">
        <v>0</v>
      </c>
    </row>
    <row r="369" spans="1:4" x14ac:dyDescent="0.3">
      <c r="A369" s="1" t="s">
        <v>6</v>
      </c>
      <c r="B369" s="1" t="s">
        <v>49</v>
      </c>
      <c r="C369" s="1" t="s">
        <v>40</v>
      </c>
      <c r="D369">
        <v>0</v>
      </c>
    </row>
    <row r="370" spans="1:4" x14ac:dyDescent="0.3">
      <c r="A370" s="1" t="s">
        <v>6</v>
      </c>
      <c r="B370" s="1" t="s">
        <v>49</v>
      </c>
      <c r="C370" s="1" t="s">
        <v>41</v>
      </c>
      <c r="D370">
        <v>0</v>
      </c>
    </row>
    <row r="371" spans="1:4" x14ac:dyDescent="0.3">
      <c r="A371" s="1" t="s">
        <v>6</v>
      </c>
      <c r="B371" s="1" t="s">
        <v>49</v>
      </c>
      <c r="C371" s="1" t="s">
        <v>42</v>
      </c>
      <c r="D371">
        <v>0</v>
      </c>
    </row>
    <row r="372" spans="1:4" x14ac:dyDescent="0.3">
      <c r="A372" s="1" t="s">
        <v>6</v>
      </c>
      <c r="B372" s="1" t="s">
        <v>49</v>
      </c>
      <c r="C372" s="1" t="s">
        <v>43</v>
      </c>
      <c r="D372">
        <v>0</v>
      </c>
    </row>
    <row r="373" spans="1:4" x14ac:dyDescent="0.3">
      <c r="A373" s="1" t="s">
        <v>6</v>
      </c>
      <c r="B373" s="1" t="s">
        <v>49</v>
      </c>
      <c r="C373" s="1" t="s">
        <v>44</v>
      </c>
      <c r="D373">
        <v>0</v>
      </c>
    </row>
    <row r="374" spans="1:4" x14ac:dyDescent="0.3">
      <c r="A374" s="1" t="s">
        <v>6</v>
      </c>
      <c r="B374" s="1" t="s">
        <v>49</v>
      </c>
      <c r="C374" s="1" t="s">
        <v>45</v>
      </c>
      <c r="D374">
        <v>0</v>
      </c>
    </row>
    <row r="375" spans="1:4" x14ac:dyDescent="0.3">
      <c r="A375" s="1" t="s">
        <v>6</v>
      </c>
      <c r="B375" s="1" t="s">
        <v>49</v>
      </c>
      <c r="C375" s="1" t="s">
        <v>46</v>
      </c>
      <c r="D375">
        <v>0</v>
      </c>
    </row>
    <row r="376" spans="1:4" x14ac:dyDescent="0.3">
      <c r="A376" s="1" t="s">
        <v>7</v>
      </c>
      <c r="B376" s="1" t="s">
        <v>49</v>
      </c>
      <c r="C376" s="1" t="s">
        <v>36</v>
      </c>
      <c r="D376">
        <v>0.34</v>
      </c>
    </row>
    <row r="377" spans="1:4" x14ac:dyDescent="0.3">
      <c r="A377" s="1" t="s">
        <v>7</v>
      </c>
      <c r="B377" s="1" t="s">
        <v>49</v>
      </c>
      <c r="C377" s="1" t="s">
        <v>37</v>
      </c>
      <c r="D377">
        <v>0.34</v>
      </c>
    </row>
    <row r="378" spans="1:4" x14ac:dyDescent="0.3">
      <c r="A378" s="1" t="s">
        <v>7</v>
      </c>
      <c r="B378" s="1" t="s">
        <v>49</v>
      </c>
      <c r="C378" s="1" t="s">
        <v>38</v>
      </c>
      <c r="D378">
        <v>0.34</v>
      </c>
    </row>
    <row r="379" spans="1:4" x14ac:dyDescent="0.3">
      <c r="A379" s="1" t="s">
        <v>7</v>
      </c>
      <c r="B379" s="1" t="s">
        <v>49</v>
      </c>
      <c r="C379" s="1" t="s">
        <v>39</v>
      </c>
      <c r="D379">
        <v>0.34</v>
      </c>
    </row>
    <row r="380" spans="1:4" x14ac:dyDescent="0.3">
      <c r="A380" s="1" t="s">
        <v>7</v>
      </c>
      <c r="B380" s="1" t="s">
        <v>49</v>
      </c>
      <c r="C380" s="1" t="s">
        <v>40</v>
      </c>
      <c r="D380">
        <v>0.32</v>
      </c>
    </row>
    <row r="381" spans="1:4" x14ac:dyDescent="0.3">
      <c r="A381" s="1" t="s">
        <v>7</v>
      </c>
      <c r="B381" s="1" t="s">
        <v>49</v>
      </c>
      <c r="C381" s="1" t="s">
        <v>41</v>
      </c>
      <c r="D381">
        <v>0.31</v>
      </c>
    </row>
    <row r="382" spans="1:4" x14ac:dyDescent="0.3">
      <c r="A382" s="1" t="s">
        <v>7</v>
      </c>
      <c r="B382" s="1" t="s">
        <v>49</v>
      </c>
      <c r="C382" s="1" t="s">
        <v>42</v>
      </c>
      <c r="D382">
        <v>0.28999999999999998</v>
      </c>
    </row>
    <row r="383" spans="1:4" x14ac:dyDescent="0.3">
      <c r="A383" s="1" t="s">
        <v>7</v>
      </c>
      <c r="B383" s="1" t="s">
        <v>49</v>
      </c>
      <c r="C383" s="1" t="s">
        <v>43</v>
      </c>
      <c r="D383">
        <v>0.27</v>
      </c>
    </row>
    <row r="384" spans="1:4" x14ac:dyDescent="0.3">
      <c r="A384" s="1" t="s">
        <v>7</v>
      </c>
      <c r="B384" s="1" t="s">
        <v>49</v>
      </c>
      <c r="C384" s="1" t="s">
        <v>44</v>
      </c>
      <c r="D384">
        <v>0.26</v>
      </c>
    </row>
    <row r="385" spans="1:4" x14ac:dyDescent="0.3">
      <c r="A385" s="1" t="s">
        <v>7</v>
      </c>
      <c r="B385" s="1" t="s">
        <v>49</v>
      </c>
      <c r="C385" s="1" t="s">
        <v>45</v>
      </c>
      <c r="D385">
        <v>0.26</v>
      </c>
    </row>
    <row r="386" spans="1:4" x14ac:dyDescent="0.3">
      <c r="A386" s="1" t="s">
        <v>7</v>
      </c>
      <c r="B386" s="1" t="s">
        <v>49</v>
      </c>
      <c r="C386" s="1" t="s">
        <v>46</v>
      </c>
      <c r="D386">
        <v>0.26</v>
      </c>
    </row>
    <row r="387" spans="1:4" x14ac:dyDescent="0.3">
      <c r="A387" s="1" t="s">
        <v>8</v>
      </c>
      <c r="B387" s="1" t="s">
        <v>49</v>
      </c>
      <c r="C387" s="1" t="s">
        <v>36</v>
      </c>
      <c r="D387">
        <v>0.22</v>
      </c>
    </row>
    <row r="388" spans="1:4" x14ac:dyDescent="0.3">
      <c r="A388" s="1" t="s">
        <v>8</v>
      </c>
      <c r="B388" s="1" t="s">
        <v>49</v>
      </c>
      <c r="C388" s="1" t="s">
        <v>37</v>
      </c>
      <c r="D388">
        <v>0.22</v>
      </c>
    </row>
    <row r="389" spans="1:4" x14ac:dyDescent="0.3">
      <c r="A389" s="1" t="s">
        <v>8</v>
      </c>
      <c r="B389" s="1" t="s">
        <v>49</v>
      </c>
      <c r="C389" s="1" t="s">
        <v>38</v>
      </c>
      <c r="D389">
        <v>0.22</v>
      </c>
    </row>
    <row r="390" spans="1:4" x14ac:dyDescent="0.3">
      <c r="A390" s="1" t="s">
        <v>8</v>
      </c>
      <c r="B390" s="1" t="s">
        <v>49</v>
      </c>
      <c r="C390" s="1" t="s">
        <v>39</v>
      </c>
      <c r="D390">
        <v>0.22</v>
      </c>
    </row>
    <row r="391" spans="1:4" x14ac:dyDescent="0.3">
      <c r="A391" s="1" t="s">
        <v>8</v>
      </c>
      <c r="B391" s="1" t="s">
        <v>49</v>
      </c>
      <c r="C391" s="1" t="s">
        <v>40</v>
      </c>
      <c r="D391">
        <v>0.21</v>
      </c>
    </row>
    <row r="392" spans="1:4" x14ac:dyDescent="0.3">
      <c r="A392" s="1" t="s">
        <v>8</v>
      </c>
      <c r="B392" s="1" t="s">
        <v>49</v>
      </c>
      <c r="C392" s="1" t="s">
        <v>41</v>
      </c>
      <c r="D392">
        <v>0.2</v>
      </c>
    </row>
    <row r="393" spans="1:4" x14ac:dyDescent="0.3">
      <c r="A393" s="1" t="s">
        <v>8</v>
      </c>
      <c r="B393" s="1" t="s">
        <v>49</v>
      </c>
      <c r="C393" s="1" t="s">
        <v>42</v>
      </c>
      <c r="D393">
        <v>0.19</v>
      </c>
    </row>
    <row r="394" spans="1:4" x14ac:dyDescent="0.3">
      <c r="A394" s="1" t="s">
        <v>8</v>
      </c>
      <c r="B394" s="1" t="s">
        <v>49</v>
      </c>
      <c r="C394" s="1" t="s">
        <v>43</v>
      </c>
      <c r="D394">
        <v>0.18</v>
      </c>
    </row>
    <row r="395" spans="1:4" x14ac:dyDescent="0.3">
      <c r="A395" s="1" t="s">
        <v>8</v>
      </c>
      <c r="B395" s="1" t="s">
        <v>49</v>
      </c>
      <c r="C395" s="1" t="s">
        <v>44</v>
      </c>
      <c r="D395">
        <v>0.17</v>
      </c>
    </row>
    <row r="396" spans="1:4" x14ac:dyDescent="0.3">
      <c r="A396" s="1" t="s">
        <v>8</v>
      </c>
      <c r="B396" s="1" t="s">
        <v>49</v>
      </c>
      <c r="C396" s="1" t="s">
        <v>45</v>
      </c>
      <c r="D396">
        <v>0.17</v>
      </c>
    </row>
    <row r="397" spans="1:4" x14ac:dyDescent="0.3">
      <c r="A397" s="1" t="s">
        <v>8</v>
      </c>
      <c r="B397" s="1" t="s">
        <v>49</v>
      </c>
      <c r="C397" s="1" t="s">
        <v>46</v>
      </c>
      <c r="D397">
        <v>0.17</v>
      </c>
    </row>
    <row r="398" spans="1:4" x14ac:dyDescent="0.3">
      <c r="A398" s="1" t="s">
        <v>9</v>
      </c>
      <c r="B398" s="1" t="s">
        <v>49</v>
      </c>
      <c r="C398" s="1" t="s">
        <v>36</v>
      </c>
      <c r="D398">
        <v>0.05</v>
      </c>
    </row>
    <row r="399" spans="1:4" x14ac:dyDescent="0.3">
      <c r="A399" s="1" t="s">
        <v>9</v>
      </c>
      <c r="B399" s="1" t="s">
        <v>49</v>
      </c>
      <c r="C399" s="1" t="s">
        <v>37</v>
      </c>
      <c r="D399">
        <v>0.05</v>
      </c>
    </row>
    <row r="400" spans="1:4" x14ac:dyDescent="0.3">
      <c r="A400" s="1" t="s">
        <v>9</v>
      </c>
      <c r="B400" s="1" t="s">
        <v>49</v>
      </c>
      <c r="C400" s="1" t="s">
        <v>38</v>
      </c>
      <c r="D400">
        <v>0.05</v>
      </c>
    </row>
    <row r="401" spans="1:4" x14ac:dyDescent="0.3">
      <c r="A401" s="1" t="s">
        <v>9</v>
      </c>
      <c r="B401" s="1" t="s">
        <v>49</v>
      </c>
      <c r="C401" s="1" t="s">
        <v>39</v>
      </c>
      <c r="D401">
        <v>0.05</v>
      </c>
    </row>
    <row r="402" spans="1:4" x14ac:dyDescent="0.3">
      <c r="A402" s="1" t="s">
        <v>9</v>
      </c>
      <c r="B402" s="1" t="s">
        <v>49</v>
      </c>
      <c r="C402" s="1" t="s">
        <v>40</v>
      </c>
      <c r="D402">
        <v>0.05</v>
      </c>
    </row>
    <row r="403" spans="1:4" x14ac:dyDescent="0.3">
      <c r="A403" s="1" t="s">
        <v>9</v>
      </c>
      <c r="B403" s="1" t="s">
        <v>49</v>
      </c>
      <c r="C403" s="1" t="s">
        <v>41</v>
      </c>
      <c r="D403">
        <v>0.05</v>
      </c>
    </row>
    <row r="404" spans="1:4" x14ac:dyDescent="0.3">
      <c r="A404" s="1" t="s">
        <v>9</v>
      </c>
      <c r="B404" s="1" t="s">
        <v>49</v>
      </c>
      <c r="C404" s="1" t="s">
        <v>42</v>
      </c>
      <c r="D404">
        <v>0.04</v>
      </c>
    </row>
    <row r="405" spans="1:4" x14ac:dyDescent="0.3">
      <c r="A405" s="1" t="s">
        <v>9</v>
      </c>
      <c r="B405" s="1" t="s">
        <v>49</v>
      </c>
      <c r="C405" s="1" t="s">
        <v>43</v>
      </c>
      <c r="D405">
        <v>0.04</v>
      </c>
    </row>
    <row r="406" spans="1:4" x14ac:dyDescent="0.3">
      <c r="A406" s="1" t="s">
        <v>9</v>
      </c>
      <c r="B406" s="1" t="s">
        <v>49</v>
      </c>
      <c r="C406" s="1" t="s">
        <v>44</v>
      </c>
      <c r="D406">
        <v>0.04</v>
      </c>
    </row>
    <row r="407" spans="1:4" x14ac:dyDescent="0.3">
      <c r="A407" s="1" t="s">
        <v>9</v>
      </c>
      <c r="B407" s="1" t="s">
        <v>49</v>
      </c>
      <c r="C407" s="1" t="s">
        <v>45</v>
      </c>
      <c r="D407">
        <v>0.04</v>
      </c>
    </row>
    <row r="408" spans="1:4" x14ac:dyDescent="0.3">
      <c r="A408" s="1" t="s">
        <v>9</v>
      </c>
      <c r="B408" s="1" t="s">
        <v>49</v>
      </c>
      <c r="C408" s="1" t="s">
        <v>46</v>
      </c>
      <c r="D408">
        <v>0.04</v>
      </c>
    </row>
    <row r="409" spans="1:4" x14ac:dyDescent="0.3">
      <c r="A409" s="1" t="s">
        <v>10</v>
      </c>
      <c r="B409" s="1" t="s">
        <v>49</v>
      </c>
      <c r="C409" s="1" t="s">
        <v>36</v>
      </c>
      <c r="D409">
        <v>0.08</v>
      </c>
    </row>
    <row r="410" spans="1:4" x14ac:dyDescent="0.3">
      <c r="A410" s="1" t="s">
        <v>10</v>
      </c>
      <c r="B410" s="1" t="s">
        <v>49</v>
      </c>
      <c r="C410" s="1" t="s">
        <v>37</v>
      </c>
      <c r="D410">
        <v>0.08</v>
      </c>
    </row>
    <row r="411" spans="1:4" x14ac:dyDescent="0.3">
      <c r="A411" s="1" t="s">
        <v>10</v>
      </c>
      <c r="B411" s="1" t="s">
        <v>49</v>
      </c>
      <c r="C411" s="1" t="s">
        <v>38</v>
      </c>
      <c r="D411">
        <v>0.08</v>
      </c>
    </row>
    <row r="412" spans="1:4" x14ac:dyDescent="0.3">
      <c r="A412" s="1" t="s">
        <v>10</v>
      </c>
      <c r="B412" s="1" t="s">
        <v>49</v>
      </c>
      <c r="C412" s="1" t="s">
        <v>39</v>
      </c>
      <c r="D412">
        <v>0.08</v>
      </c>
    </row>
    <row r="413" spans="1:4" x14ac:dyDescent="0.3">
      <c r="A413" s="1" t="s">
        <v>10</v>
      </c>
      <c r="B413" s="1" t="s">
        <v>49</v>
      </c>
      <c r="C413" s="1" t="s">
        <v>40</v>
      </c>
      <c r="D413">
        <v>0.08</v>
      </c>
    </row>
    <row r="414" spans="1:4" x14ac:dyDescent="0.3">
      <c r="A414" s="1" t="s">
        <v>10</v>
      </c>
      <c r="B414" s="1" t="s">
        <v>49</v>
      </c>
      <c r="C414" s="1" t="s">
        <v>41</v>
      </c>
      <c r="D414">
        <v>7.0000000000000007E-2</v>
      </c>
    </row>
    <row r="415" spans="1:4" x14ac:dyDescent="0.3">
      <c r="A415" s="1" t="s">
        <v>10</v>
      </c>
      <c r="B415" s="1" t="s">
        <v>49</v>
      </c>
      <c r="C415" s="1" t="s">
        <v>42</v>
      </c>
      <c r="D415">
        <v>7.0000000000000007E-2</v>
      </c>
    </row>
    <row r="416" spans="1:4" x14ac:dyDescent="0.3">
      <c r="A416" s="1" t="s">
        <v>10</v>
      </c>
      <c r="B416" s="1" t="s">
        <v>49</v>
      </c>
      <c r="C416" s="1" t="s">
        <v>43</v>
      </c>
      <c r="D416">
        <v>0.06</v>
      </c>
    </row>
    <row r="417" spans="1:4" x14ac:dyDescent="0.3">
      <c r="A417" s="1" t="s">
        <v>10</v>
      </c>
      <c r="B417" s="1" t="s">
        <v>49</v>
      </c>
      <c r="C417" s="1" t="s">
        <v>44</v>
      </c>
      <c r="D417">
        <v>0.06</v>
      </c>
    </row>
    <row r="418" spans="1:4" x14ac:dyDescent="0.3">
      <c r="A418" s="1" t="s">
        <v>10</v>
      </c>
      <c r="B418" s="1" t="s">
        <v>49</v>
      </c>
      <c r="C418" s="1" t="s">
        <v>45</v>
      </c>
      <c r="D418">
        <v>0.06</v>
      </c>
    </row>
    <row r="419" spans="1:4" x14ac:dyDescent="0.3">
      <c r="A419" s="1" t="s">
        <v>10</v>
      </c>
      <c r="B419" s="1" t="s">
        <v>49</v>
      </c>
      <c r="C419" s="1" t="s">
        <v>46</v>
      </c>
      <c r="D419">
        <v>0.06</v>
      </c>
    </row>
    <row r="420" spans="1:4" x14ac:dyDescent="0.3">
      <c r="A420" s="1" t="s">
        <v>11</v>
      </c>
      <c r="B420" s="1" t="s">
        <v>49</v>
      </c>
      <c r="C420" s="1" t="s">
        <v>36</v>
      </c>
      <c r="D420">
        <v>0.22</v>
      </c>
    </row>
    <row r="421" spans="1:4" x14ac:dyDescent="0.3">
      <c r="A421" s="1" t="s">
        <v>11</v>
      </c>
      <c r="B421" s="1" t="s">
        <v>49</v>
      </c>
      <c r="C421" s="1" t="s">
        <v>37</v>
      </c>
      <c r="D421">
        <v>0.22</v>
      </c>
    </row>
    <row r="422" spans="1:4" x14ac:dyDescent="0.3">
      <c r="A422" s="1" t="s">
        <v>11</v>
      </c>
      <c r="B422" s="1" t="s">
        <v>49</v>
      </c>
      <c r="C422" s="1" t="s">
        <v>38</v>
      </c>
      <c r="D422">
        <v>0.22</v>
      </c>
    </row>
    <row r="423" spans="1:4" x14ac:dyDescent="0.3">
      <c r="A423" s="1" t="s">
        <v>11</v>
      </c>
      <c r="B423" s="1" t="s">
        <v>49</v>
      </c>
      <c r="C423" s="1" t="s">
        <v>39</v>
      </c>
      <c r="D423">
        <v>0.22</v>
      </c>
    </row>
    <row r="424" spans="1:4" x14ac:dyDescent="0.3">
      <c r="A424" s="1" t="s">
        <v>11</v>
      </c>
      <c r="B424" s="1" t="s">
        <v>49</v>
      </c>
      <c r="C424" s="1" t="s">
        <v>40</v>
      </c>
      <c r="D424">
        <v>0.21</v>
      </c>
    </row>
    <row r="425" spans="1:4" x14ac:dyDescent="0.3">
      <c r="A425" s="1" t="s">
        <v>11</v>
      </c>
      <c r="B425" s="1" t="s">
        <v>49</v>
      </c>
      <c r="C425" s="1" t="s">
        <v>41</v>
      </c>
      <c r="D425">
        <v>0.2</v>
      </c>
    </row>
    <row r="426" spans="1:4" x14ac:dyDescent="0.3">
      <c r="A426" s="1" t="s">
        <v>11</v>
      </c>
      <c r="B426" s="1" t="s">
        <v>49</v>
      </c>
      <c r="C426" s="1" t="s">
        <v>42</v>
      </c>
      <c r="D426">
        <v>0.19</v>
      </c>
    </row>
    <row r="427" spans="1:4" x14ac:dyDescent="0.3">
      <c r="A427" s="1" t="s">
        <v>11</v>
      </c>
      <c r="B427" s="1" t="s">
        <v>49</v>
      </c>
      <c r="C427" s="1" t="s">
        <v>43</v>
      </c>
      <c r="D427">
        <v>0.18</v>
      </c>
    </row>
    <row r="428" spans="1:4" x14ac:dyDescent="0.3">
      <c r="A428" s="1" t="s">
        <v>11</v>
      </c>
      <c r="B428" s="1" t="s">
        <v>49</v>
      </c>
      <c r="C428" s="1" t="s">
        <v>44</v>
      </c>
      <c r="D428">
        <v>0.17</v>
      </c>
    </row>
    <row r="429" spans="1:4" x14ac:dyDescent="0.3">
      <c r="A429" s="1" t="s">
        <v>11</v>
      </c>
      <c r="B429" s="1" t="s">
        <v>49</v>
      </c>
      <c r="C429" s="1" t="s">
        <v>45</v>
      </c>
      <c r="D429">
        <v>0.17</v>
      </c>
    </row>
    <row r="430" spans="1:4" x14ac:dyDescent="0.3">
      <c r="A430" s="1" t="s">
        <v>11</v>
      </c>
      <c r="B430" s="1" t="s">
        <v>49</v>
      </c>
      <c r="C430" s="1" t="s">
        <v>46</v>
      </c>
      <c r="D430">
        <v>0.17</v>
      </c>
    </row>
    <row r="431" spans="1:4" x14ac:dyDescent="0.3">
      <c r="A431" s="1" t="s">
        <v>12</v>
      </c>
      <c r="B431" s="1" t="s">
        <v>49</v>
      </c>
      <c r="C431" s="1" t="s">
        <v>36</v>
      </c>
      <c r="D431">
        <v>0.09</v>
      </c>
    </row>
    <row r="432" spans="1:4" x14ac:dyDescent="0.3">
      <c r="A432" s="1" t="s">
        <v>12</v>
      </c>
      <c r="B432" s="1" t="s">
        <v>49</v>
      </c>
      <c r="C432" s="1" t="s">
        <v>37</v>
      </c>
      <c r="D432">
        <v>0.09</v>
      </c>
    </row>
    <row r="433" spans="1:4" x14ac:dyDescent="0.3">
      <c r="A433" s="1" t="s">
        <v>12</v>
      </c>
      <c r="B433" s="1" t="s">
        <v>49</v>
      </c>
      <c r="C433" s="1" t="s">
        <v>38</v>
      </c>
      <c r="D433">
        <v>0.09</v>
      </c>
    </row>
    <row r="434" spans="1:4" x14ac:dyDescent="0.3">
      <c r="A434" s="1" t="s">
        <v>12</v>
      </c>
      <c r="B434" s="1" t="s">
        <v>49</v>
      </c>
      <c r="C434" s="1" t="s">
        <v>39</v>
      </c>
      <c r="D434">
        <v>0.09</v>
      </c>
    </row>
    <row r="435" spans="1:4" x14ac:dyDescent="0.3">
      <c r="A435" s="1" t="s">
        <v>12</v>
      </c>
      <c r="B435" s="1" t="s">
        <v>49</v>
      </c>
      <c r="C435" s="1" t="s">
        <v>40</v>
      </c>
      <c r="D435">
        <v>0.09</v>
      </c>
    </row>
    <row r="436" spans="1:4" x14ac:dyDescent="0.3">
      <c r="A436" s="1" t="s">
        <v>12</v>
      </c>
      <c r="B436" s="1" t="s">
        <v>49</v>
      </c>
      <c r="C436" s="1" t="s">
        <v>41</v>
      </c>
      <c r="D436">
        <v>0.08</v>
      </c>
    </row>
    <row r="437" spans="1:4" x14ac:dyDescent="0.3">
      <c r="A437" s="1" t="s">
        <v>12</v>
      </c>
      <c r="B437" s="1" t="s">
        <v>49</v>
      </c>
      <c r="C437" s="1" t="s">
        <v>42</v>
      </c>
      <c r="D437">
        <v>0.08</v>
      </c>
    </row>
    <row r="438" spans="1:4" x14ac:dyDescent="0.3">
      <c r="A438" s="1" t="s">
        <v>12</v>
      </c>
      <c r="B438" s="1" t="s">
        <v>49</v>
      </c>
      <c r="C438" s="1" t="s">
        <v>43</v>
      </c>
      <c r="D438">
        <v>7.0000000000000007E-2</v>
      </c>
    </row>
    <row r="439" spans="1:4" x14ac:dyDescent="0.3">
      <c r="A439" s="1" t="s">
        <v>12</v>
      </c>
      <c r="B439" s="1" t="s">
        <v>49</v>
      </c>
      <c r="C439" s="1" t="s">
        <v>44</v>
      </c>
      <c r="D439">
        <v>7.0000000000000007E-2</v>
      </c>
    </row>
    <row r="440" spans="1:4" x14ac:dyDescent="0.3">
      <c r="A440" s="1" t="s">
        <v>12</v>
      </c>
      <c r="B440" s="1" t="s">
        <v>49</v>
      </c>
      <c r="C440" s="1" t="s">
        <v>45</v>
      </c>
      <c r="D440">
        <v>7.0000000000000007E-2</v>
      </c>
    </row>
    <row r="441" spans="1:4" x14ac:dyDescent="0.3">
      <c r="A441" s="1" t="s">
        <v>12</v>
      </c>
      <c r="B441" s="1" t="s">
        <v>49</v>
      </c>
      <c r="C441" s="1" t="s">
        <v>46</v>
      </c>
      <c r="D441">
        <v>7.0000000000000007E-2</v>
      </c>
    </row>
    <row r="442" spans="1:4" x14ac:dyDescent="0.3">
      <c r="A442" s="1" t="s">
        <v>13</v>
      </c>
      <c r="B442" s="1" t="s">
        <v>49</v>
      </c>
      <c r="C442" s="1" t="s">
        <v>36</v>
      </c>
      <c r="D442">
        <v>0.13</v>
      </c>
    </row>
    <row r="443" spans="1:4" x14ac:dyDescent="0.3">
      <c r="A443" s="1" t="s">
        <v>13</v>
      </c>
      <c r="B443" s="1" t="s">
        <v>49</v>
      </c>
      <c r="C443" s="1" t="s">
        <v>37</v>
      </c>
      <c r="D443">
        <v>0.13</v>
      </c>
    </row>
    <row r="444" spans="1:4" x14ac:dyDescent="0.3">
      <c r="A444" s="1" t="s">
        <v>13</v>
      </c>
      <c r="B444" s="1" t="s">
        <v>49</v>
      </c>
      <c r="C444" s="1" t="s">
        <v>38</v>
      </c>
      <c r="D444">
        <v>0.13</v>
      </c>
    </row>
    <row r="445" spans="1:4" x14ac:dyDescent="0.3">
      <c r="A445" s="1" t="s">
        <v>13</v>
      </c>
      <c r="B445" s="1" t="s">
        <v>49</v>
      </c>
      <c r="C445" s="1" t="s">
        <v>39</v>
      </c>
      <c r="D445">
        <v>0.13</v>
      </c>
    </row>
    <row r="446" spans="1:4" x14ac:dyDescent="0.3">
      <c r="A446" s="1" t="s">
        <v>13</v>
      </c>
      <c r="B446" s="1" t="s">
        <v>49</v>
      </c>
      <c r="C446" s="1" t="s">
        <v>40</v>
      </c>
      <c r="D446">
        <v>0.12</v>
      </c>
    </row>
    <row r="447" spans="1:4" x14ac:dyDescent="0.3">
      <c r="A447" s="1" t="s">
        <v>13</v>
      </c>
      <c r="B447" s="1" t="s">
        <v>49</v>
      </c>
      <c r="C447" s="1" t="s">
        <v>41</v>
      </c>
      <c r="D447">
        <v>0.12</v>
      </c>
    </row>
    <row r="448" spans="1:4" x14ac:dyDescent="0.3">
      <c r="A448" s="1" t="s">
        <v>13</v>
      </c>
      <c r="B448" s="1" t="s">
        <v>49</v>
      </c>
      <c r="C448" s="1" t="s">
        <v>42</v>
      </c>
      <c r="D448">
        <v>0.11</v>
      </c>
    </row>
    <row r="449" spans="1:4" x14ac:dyDescent="0.3">
      <c r="A449" s="1" t="s">
        <v>13</v>
      </c>
      <c r="B449" s="1" t="s">
        <v>49</v>
      </c>
      <c r="C449" s="1" t="s">
        <v>43</v>
      </c>
      <c r="D449">
        <v>0.1</v>
      </c>
    </row>
    <row r="450" spans="1:4" x14ac:dyDescent="0.3">
      <c r="A450" s="1" t="s">
        <v>13</v>
      </c>
      <c r="B450" s="1" t="s">
        <v>49</v>
      </c>
      <c r="C450" s="1" t="s">
        <v>44</v>
      </c>
      <c r="D450">
        <v>0.1</v>
      </c>
    </row>
    <row r="451" spans="1:4" x14ac:dyDescent="0.3">
      <c r="A451" s="1" t="s">
        <v>13</v>
      </c>
      <c r="B451" s="1" t="s">
        <v>49</v>
      </c>
      <c r="C451" s="1" t="s">
        <v>45</v>
      </c>
      <c r="D451">
        <v>0.1</v>
      </c>
    </row>
    <row r="452" spans="1:4" x14ac:dyDescent="0.3">
      <c r="A452" s="1" t="s">
        <v>13</v>
      </c>
      <c r="B452" s="1" t="s">
        <v>49</v>
      </c>
      <c r="C452" s="1" t="s">
        <v>46</v>
      </c>
      <c r="D452">
        <v>0.1</v>
      </c>
    </row>
    <row r="453" spans="1:4" x14ac:dyDescent="0.3">
      <c r="A453" s="1" t="s">
        <v>14</v>
      </c>
      <c r="B453" s="1" t="s">
        <v>49</v>
      </c>
      <c r="C453" s="1" t="s">
        <v>36</v>
      </c>
      <c r="D453">
        <v>0</v>
      </c>
    </row>
    <row r="454" spans="1:4" x14ac:dyDescent="0.3">
      <c r="A454" s="1" t="s">
        <v>14</v>
      </c>
      <c r="B454" s="1" t="s">
        <v>49</v>
      </c>
      <c r="C454" s="1" t="s">
        <v>37</v>
      </c>
      <c r="D454">
        <v>0</v>
      </c>
    </row>
    <row r="455" spans="1:4" x14ac:dyDescent="0.3">
      <c r="A455" s="1" t="s">
        <v>14</v>
      </c>
      <c r="B455" s="1" t="s">
        <v>49</v>
      </c>
      <c r="C455" s="1" t="s">
        <v>38</v>
      </c>
      <c r="D455">
        <v>0</v>
      </c>
    </row>
    <row r="456" spans="1:4" x14ac:dyDescent="0.3">
      <c r="A456" s="1" t="s">
        <v>14</v>
      </c>
      <c r="B456" s="1" t="s">
        <v>49</v>
      </c>
      <c r="C456" s="1" t="s">
        <v>39</v>
      </c>
      <c r="D456">
        <v>0</v>
      </c>
    </row>
    <row r="457" spans="1:4" x14ac:dyDescent="0.3">
      <c r="A457" s="1" t="s">
        <v>14</v>
      </c>
      <c r="B457" s="1" t="s">
        <v>49</v>
      </c>
      <c r="C457" s="1" t="s">
        <v>40</v>
      </c>
      <c r="D457">
        <v>0</v>
      </c>
    </row>
    <row r="458" spans="1:4" x14ac:dyDescent="0.3">
      <c r="A458" s="1" t="s">
        <v>14</v>
      </c>
      <c r="B458" s="1" t="s">
        <v>49</v>
      </c>
      <c r="C458" s="1" t="s">
        <v>41</v>
      </c>
      <c r="D458">
        <v>0</v>
      </c>
    </row>
    <row r="459" spans="1:4" x14ac:dyDescent="0.3">
      <c r="A459" s="1" t="s">
        <v>14</v>
      </c>
      <c r="B459" s="1" t="s">
        <v>49</v>
      </c>
      <c r="C459" s="1" t="s">
        <v>42</v>
      </c>
      <c r="D459">
        <v>0</v>
      </c>
    </row>
    <row r="460" spans="1:4" x14ac:dyDescent="0.3">
      <c r="A460" s="1" t="s">
        <v>14</v>
      </c>
      <c r="B460" s="1" t="s">
        <v>49</v>
      </c>
      <c r="C460" s="1" t="s">
        <v>43</v>
      </c>
      <c r="D460">
        <v>0</v>
      </c>
    </row>
    <row r="461" spans="1:4" x14ac:dyDescent="0.3">
      <c r="A461" s="1" t="s">
        <v>14</v>
      </c>
      <c r="B461" s="1" t="s">
        <v>49</v>
      </c>
      <c r="C461" s="1" t="s">
        <v>44</v>
      </c>
      <c r="D461">
        <v>0</v>
      </c>
    </row>
    <row r="462" spans="1:4" x14ac:dyDescent="0.3">
      <c r="A462" s="1" t="s">
        <v>14</v>
      </c>
      <c r="B462" s="1" t="s">
        <v>49</v>
      </c>
      <c r="C462" s="1" t="s">
        <v>45</v>
      </c>
      <c r="D462">
        <v>0</v>
      </c>
    </row>
    <row r="463" spans="1:4" x14ac:dyDescent="0.3">
      <c r="A463" s="1" t="s">
        <v>14</v>
      </c>
      <c r="B463" s="1" t="s">
        <v>49</v>
      </c>
      <c r="C463" s="1" t="s">
        <v>46</v>
      </c>
      <c r="D463">
        <v>0</v>
      </c>
    </row>
    <row r="464" spans="1:4" x14ac:dyDescent="0.3">
      <c r="A464" s="1" t="s">
        <v>15</v>
      </c>
      <c r="B464" s="1" t="s">
        <v>49</v>
      </c>
      <c r="C464" s="1" t="s">
        <v>36</v>
      </c>
      <c r="D464">
        <v>0.16</v>
      </c>
    </row>
    <row r="465" spans="1:4" x14ac:dyDescent="0.3">
      <c r="A465" s="1" t="s">
        <v>15</v>
      </c>
      <c r="B465" s="1" t="s">
        <v>49</v>
      </c>
      <c r="C465" s="1" t="s">
        <v>37</v>
      </c>
      <c r="D465">
        <v>0.16</v>
      </c>
    </row>
    <row r="466" spans="1:4" x14ac:dyDescent="0.3">
      <c r="A466" s="1" t="s">
        <v>15</v>
      </c>
      <c r="B466" s="1" t="s">
        <v>49</v>
      </c>
      <c r="C466" s="1" t="s">
        <v>38</v>
      </c>
      <c r="D466">
        <v>0.16</v>
      </c>
    </row>
    <row r="467" spans="1:4" x14ac:dyDescent="0.3">
      <c r="A467" s="1" t="s">
        <v>15</v>
      </c>
      <c r="B467" s="1" t="s">
        <v>49</v>
      </c>
      <c r="C467" s="1" t="s">
        <v>39</v>
      </c>
      <c r="D467">
        <v>0.16</v>
      </c>
    </row>
    <row r="468" spans="1:4" x14ac:dyDescent="0.3">
      <c r="A468" s="1" t="s">
        <v>15</v>
      </c>
      <c r="B468" s="1" t="s">
        <v>49</v>
      </c>
      <c r="C468" s="1" t="s">
        <v>40</v>
      </c>
      <c r="D468">
        <v>0.15</v>
      </c>
    </row>
    <row r="469" spans="1:4" x14ac:dyDescent="0.3">
      <c r="A469" s="1" t="s">
        <v>15</v>
      </c>
      <c r="B469" s="1" t="s">
        <v>49</v>
      </c>
      <c r="C469" s="1" t="s">
        <v>41</v>
      </c>
      <c r="D469">
        <v>0.14000000000000001</v>
      </c>
    </row>
    <row r="470" spans="1:4" x14ac:dyDescent="0.3">
      <c r="A470" s="1" t="s">
        <v>15</v>
      </c>
      <c r="B470" s="1" t="s">
        <v>49</v>
      </c>
      <c r="C470" s="1" t="s">
        <v>42</v>
      </c>
      <c r="D470">
        <v>0.14000000000000001</v>
      </c>
    </row>
    <row r="471" spans="1:4" x14ac:dyDescent="0.3">
      <c r="A471" s="1" t="s">
        <v>15</v>
      </c>
      <c r="B471" s="1" t="s">
        <v>49</v>
      </c>
      <c r="C471" s="1" t="s">
        <v>43</v>
      </c>
      <c r="D471">
        <v>0.13</v>
      </c>
    </row>
    <row r="472" spans="1:4" x14ac:dyDescent="0.3">
      <c r="A472" s="1" t="s">
        <v>15</v>
      </c>
      <c r="B472" s="1" t="s">
        <v>49</v>
      </c>
      <c r="C472" s="1" t="s">
        <v>44</v>
      </c>
      <c r="D472">
        <v>0.12</v>
      </c>
    </row>
    <row r="473" spans="1:4" x14ac:dyDescent="0.3">
      <c r="A473" s="1" t="s">
        <v>15</v>
      </c>
      <c r="B473" s="1" t="s">
        <v>49</v>
      </c>
      <c r="C473" s="1" t="s">
        <v>45</v>
      </c>
      <c r="D473">
        <v>0.12</v>
      </c>
    </row>
    <row r="474" spans="1:4" x14ac:dyDescent="0.3">
      <c r="A474" s="1" t="s">
        <v>15</v>
      </c>
      <c r="B474" s="1" t="s">
        <v>49</v>
      </c>
      <c r="C474" s="1" t="s">
        <v>46</v>
      </c>
      <c r="D474">
        <v>0.12</v>
      </c>
    </row>
    <row r="475" spans="1:4" x14ac:dyDescent="0.3">
      <c r="A475" s="1" t="s">
        <v>16</v>
      </c>
      <c r="B475" s="1" t="s">
        <v>49</v>
      </c>
      <c r="C475" s="1" t="s">
        <v>36</v>
      </c>
      <c r="D475">
        <v>0</v>
      </c>
    </row>
    <row r="476" spans="1:4" x14ac:dyDescent="0.3">
      <c r="A476" s="1" t="s">
        <v>16</v>
      </c>
      <c r="B476" s="1" t="s">
        <v>49</v>
      </c>
      <c r="C476" s="1" t="s">
        <v>37</v>
      </c>
      <c r="D476">
        <v>0</v>
      </c>
    </row>
    <row r="477" spans="1:4" x14ac:dyDescent="0.3">
      <c r="A477" s="1" t="s">
        <v>16</v>
      </c>
      <c r="B477" s="1" t="s">
        <v>49</v>
      </c>
      <c r="C477" s="1" t="s">
        <v>38</v>
      </c>
      <c r="D477">
        <v>0</v>
      </c>
    </row>
    <row r="478" spans="1:4" x14ac:dyDescent="0.3">
      <c r="A478" s="1" t="s">
        <v>16</v>
      </c>
      <c r="B478" s="1" t="s">
        <v>49</v>
      </c>
      <c r="C478" s="1" t="s">
        <v>39</v>
      </c>
      <c r="D478">
        <v>0</v>
      </c>
    </row>
    <row r="479" spans="1:4" x14ac:dyDescent="0.3">
      <c r="A479" s="1" t="s">
        <v>16</v>
      </c>
      <c r="B479" s="1" t="s">
        <v>49</v>
      </c>
      <c r="C479" s="1" t="s">
        <v>40</v>
      </c>
      <c r="D479">
        <v>0</v>
      </c>
    </row>
    <row r="480" spans="1:4" x14ac:dyDescent="0.3">
      <c r="A480" s="1" t="s">
        <v>16</v>
      </c>
      <c r="B480" s="1" t="s">
        <v>49</v>
      </c>
      <c r="C480" s="1" t="s">
        <v>41</v>
      </c>
      <c r="D480">
        <v>0</v>
      </c>
    </row>
    <row r="481" spans="1:4" x14ac:dyDescent="0.3">
      <c r="A481" s="1" t="s">
        <v>16</v>
      </c>
      <c r="B481" s="1" t="s">
        <v>49</v>
      </c>
      <c r="C481" s="1" t="s">
        <v>42</v>
      </c>
      <c r="D481">
        <v>0</v>
      </c>
    </row>
    <row r="482" spans="1:4" x14ac:dyDescent="0.3">
      <c r="A482" s="1" t="s">
        <v>16</v>
      </c>
      <c r="B482" s="1" t="s">
        <v>49</v>
      </c>
      <c r="C482" s="1" t="s">
        <v>43</v>
      </c>
      <c r="D482">
        <v>0</v>
      </c>
    </row>
    <row r="483" spans="1:4" x14ac:dyDescent="0.3">
      <c r="A483" s="1" t="s">
        <v>16</v>
      </c>
      <c r="B483" s="1" t="s">
        <v>49</v>
      </c>
      <c r="C483" s="1" t="s">
        <v>44</v>
      </c>
      <c r="D483">
        <v>0</v>
      </c>
    </row>
    <row r="484" spans="1:4" x14ac:dyDescent="0.3">
      <c r="A484" s="1" t="s">
        <v>16</v>
      </c>
      <c r="B484" s="1" t="s">
        <v>49</v>
      </c>
      <c r="C484" s="1" t="s">
        <v>45</v>
      </c>
      <c r="D484">
        <v>0</v>
      </c>
    </row>
    <row r="485" spans="1:4" x14ac:dyDescent="0.3">
      <c r="A485" s="1" t="s">
        <v>16</v>
      </c>
      <c r="B485" s="1" t="s">
        <v>49</v>
      </c>
      <c r="C485" s="1" t="s">
        <v>46</v>
      </c>
      <c r="D485">
        <v>0</v>
      </c>
    </row>
    <row r="486" spans="1:4" x14ac:dyDescent="0.3">
      <c r="A486" s="1" t="s">
        <v>17</v>
      </c>
      <c r="B486" s="1" t="s">
        <v>49</v>
      </c>
      <c r="C486" s="1" t="s">
        <v>36</v>
      </c>
      <c r="D486">
        <v>0</v>
      </c>
    </row>
    <row r="487" spans="1:4" x14ac:dyDescent="0.3">
      <c r="A487" s="1" t="s">
        <v>17</v>
      </c>
      <c r="B487" s="1" t="s">
        <v>49</v>
      </c>
      <c r="C487" s="1" t="s">
        <v>37</v>
      </c>
      <c r="D487">
        <v>0</v>
      </c>
    </row>
    <row r="488" spans="1:4" x14ac:dyDescent="0.3">
      <c r="A488" s="1" t="s">
        <v>17</v>
      </c>
      <c r="B488" s="1" t="s">
        <v>49</v>
      </c>
      <c r="C488" s="1" t="s">
        <v>38</v>
      </c>
      <c r="D488">
        <v>0</v>
      </c>
    </row>
    <row r="489" spans="1:4" x14ac:dyDescent="0.3">
      <c r="A489" s="1" t="s">
        <v>17</v>
      </c>
      <c r="B489" s="1" t="s">
        <v>49</v>
      </c>
      <c r="C489" s="1" t="s">
        <v>39</v>
      </c>
      <c r="D489">
        <v>0</v>
      </c>
    </row>
    <row r="490" spans="1:4" x14ac:dyDescent="0.3">
      <c r="A490" s="1" t="s">
        <v>17</v>
      </c>
      <c r="B490" s="1" t="s">
        <v>49</v>
      </c>
      <c r="C490" s="1" t="s">
        <v>40</v>
      </c>
      <c r="D490">
        <v>0</v>
      </c>
    </row>
    <row r="491" spans="1:4" x14ac:dyDescent="0.3">
      <c r="A491" s="1" t="s">
        <v>17</v>
      </c>
      <c r="B491" s="1" t="s">
        <v>49</v>
      </c>
      <c r="C491" s="1" t="s">
        <v>41</v>
      </c>
      <c r="D491">
        <v>0</v>
      </c>
    </row>
    <row r="492" spans="1:4" x14ac:dyDescent="0.3">
      <c r="A492" s="1" t="s">
        <v>17</v>
      </c>
      <c r="B492" s="1" t="s">
        <v>49</v>
      </c>
      <c r="C492" s="1" t="s">
        <v>42</v>
      </c>
      <c r="D492">
        <v>0</v>
      </c>
    </row>
    <row r="493" spans="1:4" x14ac:dyDescent="0.3">
      <c r="A493" s="1" t="s">
        <v>17</v>
      </c>
      <c r="B493" s="1" t="s">
        <v>49</v>
      </c>
      <c r="C493" s="1" t="s">
        <v>43</v>
      </c>
      <c r="D493">
        <v>0</v>
      </c>
    </row>
    <row r="494" spans="1:4" x14ac:dyDescent="0.3">
      <c r="A494" s="1" t="s">
        <v>17</v>
      </c>
      <c r="B494" s="1" t="s">
        <v>49</v>
      </c>
      <c r="C494" s="1" t="s">
        <v>44</v>
      </c>
      <c r="D494">
        <v>0</v>
      </c>
    </row>
    <row r="495" spans="1:4" x14ac:dyDescent="0.3">
      <c r="A495" s="1" t="s">
        <v>17</v>
      </c>
      <c r="B495" s="1" t="s">
        <v>49</v>
      </c>
      <c r="C495" s="1" t="s">
        <v>45</v>
      </c>
      <c r="D495">
        <v>0</v>
      </c>
    </row>
    <row r="496" spans="1:4" x14ac:dyDescent="0.3">
      <c r="A496" s="1" t="s">
        <v>17</v>
      </c>
      <c r="B496" s="1" t="s">
        <v>49</v>
      </c>
      <c r="C496" s="1" t="s">
        <v>46</v>
      </c>
      <c r="D496">
        <v>0</v>
      </c>
    </row>
    <row r="497" spans="1:4" x14ac:dyDescent="0.3">
      <c r="A497" s="1" t="s">
        <v>18</v>
      </c>
      <c r="B497" s="1" t="s">
        <v>49</v>
      </c>
      <c r="C497" s="1" t="s">
        <v>36</v>
      </c>
      <c r="D497">
        <v>0.03</v>
      </c>
    </row>
    <row r="498" spans="1:4" x14ac:dyDescent="0.3">
      <c r="A498" s="1" t="s">
        <v>18</v>
      </c>
      <c r="B498" s="1" t="s">
        <v>49</v>
      </c>
      <c r="C498" s="1" t="s">
        <v>37</v>
      </c>
      <c r="D498">
        <v>0.03</v>
      </c>
    </row>
    <row r="499" spans="1:4" x14ac:dyDescent="0.3">
      <c r="A499" s="1" t="s">
        <v>18</v>
      </c>
      <c r="B499" s="1" t="s">
        <v>49</v>
      </c>
      <c r="C499" s="1" t="s">
        <v>38</v>
      </c>
      <c r="D499">
        <v>0.03</v>
      </c>
    </row>
    <row r="500" spans="1:4" x14ac:dyDescent="0.3">
      <c r="A500" s="1" t="s">
        <v>18</v>
      </c>
      <c r="B500" s="1" t="s">
        <v>49</v>
      </c>
      <c r="C500" s="1" t="s">
        <v>39</v>
      </c>
      <c r="D500">
        <v>0.03</v>
      </c>
    </row>
    <row r="501" spans="1:4" x14ac:dyDescent="0.3">
      <c r="A501" s="1" t="s">
        <v>18</v>
      </c>
      <c r="B501" s="1" t="s">
        <v>49</v>
      </c>
      <c r="C501" s="1" t="s">
        <v>40</v>
      </c>
      <c r="D501">
        <v>0.03</v>
      </c>
    </row>
    <row r="502" spans="1:4" x14ac:dyDescent="0.3">
      <c r="A502" s="1" t="s">
        <v>18</v>
      </c>
      <c r="B502" s="1" t="s">
        <v>49</v>
      </c>
      <c r="C502" s="1" t="s">
        <v>41</v>
      </c>
      <c r="D502">
        <v>0.03</v>
      </c>
    </row>
    <row r="503" spans="1:4" x14ac:dyDescent="0.3">
      <c r="A503" s="1" t="s">
        <v>18</v>
      </c>
      <c r="B503" s="1" t="s">
        <v>49</v>
      </c>
      <c r="C503" s="1" t="s">
        <v>42</v>
      </c>
      <c r="D503">
        <v>0.03</v>
      </c>
    </row>
    <row r="504" spans="1:4" x14ac:dyDescent="0.3">
      <c r="A504" s="1" t="s">
        <v>18</v>
      </c>
      <c r="B504" s="1" t="s">
        <v>49</v>
      </c>
      <c r="C504" s="1" t="s">
        <v>43</v>
      </c>
      <c r="D504">
        <v>0.02</v>
      </c>
    </row>
    <row r="505" spans="1:4" x14ac:dyDescent="0.3">
      <c r="A505" s="1" t="s">
        <v>18</v>
      </c>
      <c r="B505" s="1" t="s">
        <v>49</v>
      </c>
      <c r="C505" s="1" t="s">
        <v>44</v>
      </c>
      <c r="D505">
        <v>0.02</v>
      </c>
    </row>
    <row r="506" spans="1:4" x14ac:dyDescent="0.3">
      <c r="A506" s="1" t="s">
        <v>18</v>
      </c>
      <c r="B506" s="1" t="s">
        <v>49</v>
      </c>
      <c r="C506" s="1" t="s">
        <v>45</v>
      </c>
      <c r="D506">
        <v>0.02</v>
      </c>
    </row>
    <row r="507" spans="1:4" x14ac:dyDescent="0.3">
      <c r="A507" s="1" t="s">
        <v>18</v>
      </c>
      <c r="B507" s="1" t="s">
        <v>49</v>
      </c>
      <c r="C507" s="1" t="s">
        <v>46</v>
      </c>
      <c r="D507">
        <v>0.02</v>
      </c>
    </row>
    <row r="508" spans="1:4" x14ac:dyDescent="0.3">
      <c r="A508" s="1" t="s">
        <v>19</v>
      </c>
      <c r="B508" s="1" t="s">
        <v>49</v>
      </c>
      <c r="C508" s="1" t="s">
        <v>36</v>
      </c>
      <c r="D508">
        <v>0</v>
      </c>
    </row>
    <row r="509" spans="1:4" x14ac:dyDescent="0.3">
      <c r="A509" s="1" t="s">
        <v>19</v>
      </c>
      <c r="B509" s="1" t="s">
        <v>49</v>
      </c>
      <c r="C509" s="1" t="s">
        <v>37</v>
      </c>
      <c r="D509">
        <v>0</v>
      </c>
    </row>
    <row r="510" spans="1:4" x14ac:dyDescent="0.3">
      <c r="A510" s="1" t="s">
        <v>19</v>
      </c>
      <c r="B510" s="1" t="s">
        <v>49</v>
      </c>
      <c r="C510" s="1" t="s">
        <v>38</v>
      </c>
      <c r="D510">
        <v>0</v>
      </c>
    </row>
    <row r="511" spans="1:4" x14ac:dyDescent="0.3">
      <c r="A511" s="1" t="s">
        <v>19</v>
      </c>
      <c r="B511" s="1" t="s">
        <v>49</v>
      </c>
      <c r="C511" s="1" t="s">
        <v>39</v>
      </c>
      <c r="D511">
        <v>0</v>
      </c>
    </row>
    <row r="512" spans="1:4" x14ac:dyDescent="0.3">
      <c r="A512" s="1" t="s">
        <v>19</v>
      </c>
      <c r="B512" s="1" t="s">
        <v>49</v>
      </c>
      <c r="C512" s="1" t="s">
        <v>40</v>
      </c>
      <c r="D512">
        <v>0</v>
      </c>
    </row>
    <row r="513" spans="1:4" x14ac:dyDescent="0.3">
      <c r="A513" s="1" t="s">
        <v>19</v>
      </c>
      <c r="B513" s="1" t="s">
        <v>49</v>
      </c>
      <c r="C513" s="1" t="s">
        <v>41</v>
      </c>
      <c r="D513">
        <v>0</v>
      </c>
    </row>
    <row r="514" spans="1:4" x14ac:dyDescent="0.3">
      <c r="A514" s="1" t="s">
        <v>19</v>
      </c>
      <c r="B514" s="1" t="s">
        <v>49</v>
      </c>
      <c r="C514" s="1" t="s">
        <v>42</v>
      </c>
      <c r="D514">
        <v>0</v>
      </c>
    </row>
    <row r="515" spans="1:4" x14ac:dyDescent="0.3">
      <c r="A515" s="1" t="s">
        <v>19</v>
      </c>
      <c r="B515" s="1" t="s">
        <v>49</v>
      </c>
      <c r="C515" s="1" t="s">
        <v>43</v>
      </c>
      <c r="D515">
        <v>0</v>
      </c>
    </row>
    <row r="516" spans="1:4" x14ac:dyDescent="0.3">
      <c r="A516" s="1" t="s">
        <v>19</v>
      </c>
      <c r="B516" s="1" t="s">
        <v>49</v>
      </c>
      <c r="C516" s="1" t="s">
        <v>44</v>
      </c>
      <c r="D516">
        <v>0</v>
      </c>
    </row>
    <row r="517" spans="1:4" x14ac:dyDescent="0.3">
      <c r="A517" s="1" t="s">
        <v>19</v>
      </c>
      <c r="B517" s="1" t="s">
        <v>49</v>
      </c>
      <c r="C517" s="1" t="s">
        <v>45</v>
      </c>
      <c r="D517">
        <v>0</v>
      </c>
    </row>
    <row r="518" spans="1:4" x14ac:dyDescent="0.3">
      <c r="A518" s="1" t="s">
        <v>19</v>
      </c>
      <c r="B518" s="1" t="s">
        <v>49</v>
      </c>
      <c r="C518" s="1" t="s">
        <v>46</v>
      </c>
      <c r="D518">
        <v>0</v>
      </c>
    </row>
    <row r="519" spans="1:4" x14ac:dyDescent="0.3">
      <c r="A519" s="1" t="s">
        <v>20</v>
      </c>
      <c r="B519" s="1" t="s">
        <v>49</v>
      </c>
      <c r="C519" s="1" t="s">
        <v>36</v>
      </c>
      <c r="D519">
        <v>0.01</v>
      </c>
    </row>
    <row r="520" spans="1:4" x14ac:dyDescent="0.3">
      <c r="A520" s="1" t="s">
        <v>20</v>
      </c>
      <c r="B520" s="1" t="s">
        <v>49</v>
      </c>
      <c r="C520" s="1" t="s">
        <v>37</v>
      </c>
      <c r="D520">
        <v>0.01</v>
      </c>
    </row>
    <row r="521" spans="1:4" x14ac:dyDescent="0.3">
      <c r="A521" s="1" t="s">
        <v>20</v>
      </c>
      <c r="B521" s="1" t="s">
        <v>49</v>
      </c>
      <c r="C521" s="1" t="s">
        <v>38</v>
      </c>
      <c r="D521">
        <v>0.01</v>
      </c>
    </row>
    <row r="522" spans="1:4" x14ac:dyDescent="0.3">
      <c r="A522" s="1" t="s">
        <v>20</v>
      </c>
      <c r="B522" s="1" t="s">
        <v>49</v>
      </c>
      <c r="C522" s="1" t="s">
        <v>39</v>
      </c>
      <c r="D522">
        <v>0.01</v>
      </c>
    </row>
    <row r="523" spans="1:4" x14ac:dyDescent="0.3">
      <c r="A523" s="1" t="s">
        <v>20</v>
      </c>
      <c r="B523" s="1" t="s">
        <v>49</v>
      </c>
      <c r="C523" s="1" t="s">
        <v>40</v>
      </c>
      <c r="D523">
        <v>0.01</v>
      </c>
    </row>
    <row r="524" spans="1:4" x14ac:dyDescent="0.3">
      <c r="A524" s="1" t="s">
        <v>20</v>
      </c>
      <c r="B524" s="1" t="s">
        <v>49</v>
      </c>
      <c r="C524" s="1" t="s">
        <v>41</v>
      </c>
      <c r="D524">
        <v>0.01</v>
      </c>
    </row>
    <row r="525" spans="1:4" x14ac:dyDescent="0.3">
      <c r="A525" s="1" t="s">
        <v>20</v>
      </c>
      <c r="B525" s="1" t="s">
        <v>49</v>
      </c>
      <c r="C525" s="1" t="s">
        <v>42</v>
      </c>
      <c r="D525">
        <v>0.01</v>
      </c>
    </row>
    <row r="526" spans="1:4" x14ac:dyDescent="0.3">
      <c r="A526" s="1" t="s">
        <v>20</v>
      </c>
      <c r="B526" s="1" t="s">
        <v>49</v>
      </c>
      <c r="C526" s="1" t="s">
        <v>43</v>
      </c>
      <c r="D526">
        <v>0.01</v>
      </c>
    </row>
    <row r="527" spans="1:4" x14ac:dyDescent="0.3">
      <c r="A527" s="1" t="s">
        <v>20</v>
      </c>
      <c r="B527" s="1" t="s">
        <v>49</v>
      </c>
      <c r="C527" s="1" t="s">
        <v>44</v>
      </c>
      <c r="D527">
        <v>0.01</v>
      </c>
    </row>
    <row r="528" spans="1:4" x14ac:dyDescent="0.3">
      <c r="A528" s="1" t="s">
        <v>20</v>
      </c>
      <c r="B528" s="1" t="s">
        <v>49</v>
      </c>
      <c r="C528" s="1" t="s">
        <v>45</v>
      </c>
      <c r="D528">
        <v>0.01</v>
      </c>
    </row>
    <row r="529" spans="1:4" x14ac:dyDescent="0.3">
      <c r="A529" s="1" t="s">
        <v>20</v>
      </c>
      <c r="B529" s="1" t="s">
        <v>49</v>
      </c>
      <c r="C529" s="1" t="s">
        <v>46</v>
      </c>
      <c r="D529">
        <v>0.01</v>
      </c>
    </row>
    <row r="530" spans="1:4" x14ac:dyDescent="0.3">
      <c r="A530" s="1" t="s">
        <v>21</v>
      </c>
      <c r="B530" s="1" t="s">
        <v>49</v>
      </c>
      <c r="C530" s="1" t="s">
        <v>36</v>
      </c>
      <c r="D530">
        <v>0.14000000000000001</v>
      </c>
    </row>
    <row r="531" spans="1:4" x14ac:dyDescent="0.3">
      <c r="A531" s="1" t="s">
        <v>21</v>
      </c>
      <c r="B531" s="1" t="s">
        <v>49</v>
      </c>
      <c r="C531" s="1" t="s">
        <v>37</v>
      </c>
      <c r="D531">
        <v>0.14000000000000001</v>
      </c>
    </row>
    <row r="532" spans="1:4" x14ac:dyDescent="0.3">
      <c r="A532" s="1" t="s">
        <v>21</v>
      </c>
      <c r="B532" s="1" t="s">
        <v>49</v>
      </c>
      <c r="C532" s="1" t="s">
        <v>38</v>
      </c>
      <c r="D532">
        <v>0.14000000000000001</v>
      </c>
    </row>
    <row r="533" spans="1:4" x14ac:dyDescent="0.3">
      <c r="A533" s="1" t="s">
        <v>21</v>
      </c>
      <c r="B533" s="1" t="s">
        <v>49</v>
      </c>
      <c r="C533" s="1" t="s">
        <v>39</v>
      </c>
      <c r="D533">
        <v>0.14000000000000001</v>
      </c>
    </row>
    <row r="534" spans="1:4" x14ac:dyDescent="0.3">
      <c r="A534" s="1" t="s">
        <v>21</v>
      </c>
      <c r="B534" s="1" t="s">
        <v>49</v>
      </c>
      <c r="C534" s="1" t="s">
        <v>40</v>
      </c>
      <c r="D534">
        <v>0.13</v>
      </c>
    </row>
    <row r="535" spans="1:4" x14ac:dyDescent="0.3">
      <c r="A535" s="1" t="s">
        <v>21</v>
      </c>
      <c r="B535" s="1" t="s">
        <v>49</v>
      </c>
      <c r="C535" s="1" t="s">
        <v>41</v>
      </c>
      <c r="D535">
        <v>0.13</v>
      </c>
    </row>
    <row r="536" spans="1:4" x14ac:dyDescent="0.3">
      <c r="A536" s="1" t="s">
        <v>21</v>
      </c>
      <c r="B536" s="1" t="s">
        <v>49</v>
      </c>
      <c r="C536" s="1" t="s">
        <v>42</v>
      </c>
      <c r="D536">
        <v>0.12</v>
      </c>
    </row>
    <row r="537" spans="1:4" x14ac:dyDescent="0.3">
      <c r="A537" s="1" t="s">
        <v>21</v>
      </c>
      <c r="B537" s="1" t="s">
        <v>49</v>
      </c>
      <c r="C537" s="1" t="s">
        <v>43</v>
      </c>
      <c r="D537">
        <v>0.11</v>
      </c>
    </row>
    <row r="538" spans="1:4" x14ac:dyDescent="0.3">
      <c r="A538" s="1" t="s">
        <v>21</v>
      </c>
      <c r="B538" s="1" t="s">
        <v>49</v>
      </c>
      <c r="C538" s="1" t="s">
        <v>44</v>
      </c>
      <c r="D538">
        <v>0.11</v>
      </c>
    </row>
    <row r="539" spans="1:4" x14ac:dyDescent="0.3">
      <c r="A539" s="1" t="s">
        <v>21</v>
      </c>
      <c r="B539" s="1" t="s">
        <v>49</v>
      </c>
      <c r="C539" s="1" t="s">
        <v>45</v>
      </c>
      <c r="D539">
        <v>0.11</v>
      </c>
    </row>
    <row r="540" spans="1:4" x14ac:dyDescent="0.3">
      <c r="A540" s="1" t="s">
        <v>21</v>
      </c>
      <c r="B540" s="1" t="s">
        <v>49</v>
      </c>
      <c r="C540" s="1" t="s">
        <v>46</v>
      </c>
      <c r="D540">
        <v>0.11</v>
      </c>
    </row>
    <row r="541" spans="1:4" x14ac:dyDescent="0.3">
      <c r="A541" s="1" t="s">
        <v>22</v>
      </c>
      <c r="B541" s="1" t="s">
        <v>49</v>
      </c>
      <c r="C541" s="1" t="s">
        <v>36</v>
      </c>
      <c r="D541">
        <v>0.21</v>
      </c>
    </row>
    <row r="542" spans="1:4" x14ac:dyDescent="0.3">
      <c r="A542" s="1" t="s">
        <v>22</v>
      </c>
      <c r="B542" s="1" t="s">
        <v>49</v>
      </c>
      <c r="C542" s="1" t="s">
        <v>37</v>
      </c>
      <c r="D542">
        <v>0.21</v>
      </c>
    </row>
    <row r="543" spans="1:4" x14ac:dyDescent="0.3">
      <c r="A543" s="1" t="s">
        <v>22</v>
      </c>
      <c r="B543" s="1" t="s">
        <v>49</v>
      </c>
      <c r="C543" s="1" t="s">
        <v>38</v>
      </c>
      <c r="D543">
        <v>0.21</v>
      </c>
    </row>
    <row r="544" spans="1:4" x14ac:dyDescent="0.3">
      <c r="A544" s="1" t="s">
        <v>22</v>
      </c>
      <c r="B544" s="1" t="s">
        <v>49</v>
      </c>
      <c r="C544" s="1" t="s">
        <v>39</v>
      </c>
      <c r="D544">
        <v>0.21</v>
      </c>
    </row>
    <row r="545" spans="1:4" x14ac:dyDescent="0.3">
      <c r="A545" s="1" t="s">
        <v>22</v>
      </c>
      <c r="B545" s="1" t="s">
        <v>49</v>
      </c>
      <c r="C545" s="1" t="s">
        <v>40</v>
      </c>
      <c r="D545">
        <v>0.2</v>
      </c>
    </row>
    <row r="546" spans="1:4" x14ac:dyDescent="0.3">
      <c r="A546" s="1" t="s">
        <v>22</v>
      </c>
      <c r="B546" s="1" t="s">
        <v>49</v>
      </c>
      <c r="C546" s="1" t="s">
        <v>41</v>
      </c>
      <c r="D546">
        <v>0.19</v>
      </c>
    </row>
    <row r="547" spans="1:4" x14ac:dyDescent="0.3">
      <c r="A547" s="1" t="s">
        <v>22</v>
      </c>
      <c r="B547" s="1" t="s">
        <v>49</v>
      </c>
      <c r="C547" s="1" t="s">
        <v>42</v>
      </c>
      <c r="D547">
        <v>0.18</v>
      </c>
    </row>
    <row r="548" spans="1:4" x14ac:dyDescent="0.3">
      <c r="A548" s="1" t="s">
        <v>22</v>
      </c>
      <c r="B548" s="1" t="s">
        <v>49</v>
      </c>
      <c r="C548" s="1" t="s">
        <v>43</v>
      </c>
      <c r="D548">
        <v>0.17</v>
      </c>
    </row>
    <row r="549" spans="1:4" x14ac:dyDescent="0.3">
      <c r="A549" s="1" t="s">
        <v>22</v>
      </c>
      <c r="B549" s="1" t="s">
        <v>49</v>
      </c>
      <c r="C549" s="1" t="s">
        <v>44</v>
      </c>
      <c r="D549">
        <v>0.16</v>
      </c>
    </row>
    <row r="550" spans="1:4" x14ac:dyDescent="0.3">
      <c r="A550" s="1" t="s">
        <v>22</v>
      </c>
      <c r="B550" s="1" t="s">
        <v>49</v>
      </c>
      <c r="C550" s="1" t="s">
        <v>45</v>
      </c>
      <c r="D550">
        <v>0.16</v>
      </c>
    </row>
    <row r="551" spans="1:4" x14ac:dyDescent="0.3">
      <c r="A551" s="1" t="s">
        <v>22</v>
      </c>
      <c r="B551" s="1" t="s">
        <v>49</v>
      </c>
      <c r="C551" s="1" t="s">
        <v>46</v>
      </c>
      <c r="D551">
        <v>0.16</v>
      </c>
    </row>
    <row r="552" spans="1:4" x14ac:dyDescent="0.3">
      <c r="A552" s="1" t="s">
        <v>23</v>
      </c>
      <c r="B552" s="1" t="s">
        <v>49</v>
      </c>
      <c r="C552" s="1" t="s">
        <v>36</v>
      </c>
      <c r="D552">
        <v>0.14000000000000001</v>
      </c>
    </row>
    <row r="553" spans="1:4" x14ac:dyDescent="0.3">
      <c r="A553" s="1" t="s">
        <v>23</v>
      </c>
      <c r="B553" s="1" t="s">
        <v>49</v>
      </c>
      <c r="C553" s="1" t="s">
        <v>37</v>
      </c>
      <c r="D553">
        <v>0.14000000000000001</v>
      </c>
    </row>
    <row r="554" spans="1:4" x14ac:dyDescent="0.3">
      <c r="A554" s="1" t="s">
        <v>23</v>
      </c>
      <c r="B554" s="1" t="s">
        <v>49</v>
      </c>
      <c r="C554" s="1" t="s">
        <v>38</v>
      </c>
      <c r="D554">
        <v>0.14000000000000001</v>
      </c>
    </row>
    <row r="555" spans="1:4" x14ac:dyDescent="0.3">
      <c r="A555" s="1" t="s">
        <v>23</v>
      </c>
      <c r="B555" s="1" t="s">
        <v>49</v>
      </c>
      <c r="C555" s="1" t="s">
        <v>39</v>
      </c>
      <c r="D555">
        <v>0.14000000000000001</v>
      </c>
    </row>
    <row r="556" spans="1:4" x14ac:dyDescent="0.3">
      <c r="A556" s="1" t="s">
        <v>23</v>
      </c>
      <c r="B556" s="1" t="s">
        <v>49</v>
      </c>
      <c r="C556" s="1" t="s">
        <v>40</v>
      </c>
      <c r="D556">
        <v>0.13</v>
      </c>
    </row>
    <row r="557" spans="1:4" x14ac:dyDescent="0.3">
      <c r="A557" s="1" t="s">
        <v>23</v>
      </c>
      <c r="B557" s="1" t="s">
        <v>49</v>
      </c>
      <c r="C557" s="1" t="s">
        <v>41</v>
      </c>
      <c r="D557">
        <v>0.13</v>
      </c>
    </row>
    <row r="558" spans="1:4" x14ac:dyDescent="0.3">
      <c r="A558" s="1" t="s">
        <v>23</v>
      </c>
      <c r="B558" s="1" t="s">
        <v>49</v>
      </c>
      <c r="C558" s="1" t="s">
        <v>42</v>
      </c>
      <c r="D558">
        <v>0.12</v>
      </c>
    </row>
    <row r="559" spans="1:4" x14ac:dyDescent="0.3">
      <c r="A559" s="1" t="s">
        <v>23</v>
      </c>
      <c r="B559" s="1" t="s">
        <v>49</v>
      </c>
      <c r="C559" s="1" t="s">
        <v>43</v>
      </c>
      <c r="D559">
        <v>0.11</v>
      </c>
    </row>
    <row r="560" spans="1:4" x14ac:dyDescent="0.3">
      <c r="A560" s="1" t="s">
        <v>23</v>
      </c>
      <c r="B560" s="1" t="s">
        <v>49</v>
      </c>
      <c r="C560" s="1" t="s">
        <v>44</v>
      </c>
      <c r="D560">
        <v>0.11</v>
      </c>
    </row>
    <row r="561" spans="1:4" x14ac:dyDescent="0.3">
      <c r="A561" s="1" t="s">
        <v>23</v>
      </c>
      <c r="B561" s="1" t="s">
        <v>49</v>
      </c>
      <c r="C561" s="1" t="s">
        <v>45</v>
      </c>
      <c r="D561">
        <v>0.11</v>
      </c>
    </row>
    <row r="562" spans="1:4" x14ac:dyDescent="0.3">
      <c r="A562" s="1" t="s">
        <v>23</v>
      </c>
      <c r="B562" s="1" t="s">
        <v>49</v>
      </c>
      <c r="C562" s="1" t="s">
        <v>46</v>
      </c>
      <c r="D562">
        <v>0.11</v>
      </c>
    </row>
    <row r="563" spans="1:4" x14ac:dyDescent="0.3">
      <c r="A563" s="1" t="s">
        <v>24</v>
      </c>
      <c r="B563" s="1" t="s">
        <v>49</v>
      </c>
      <c r="C563" s="1" t="s">
        <v>36</v>
      </c>
      <c r="D563">
        <v>0</v>
      </c>
    </row>
    <row r="564" spans="1:4" x14ac:dyDescent="0.3">
      <c r="A564" s="1" t="s">
        <v>24</v>
      </c>
      <c r="B564" s="1" t="s">
        <v>49</v>
      </c>
      <c r="C564" s="1" t="s">
        <v>37</v>
      </c>
      <c r="D564">
        <v>0</v>
      </c>
    </row>
    <row r="565" spans="1:4" x14ac:dyDescent="0.3">
      <c r="A565" s="1" t="s">
        <v>24</v>
      </c>
      <c r="B565" s="1" t="s">
        <v>49</v>
      </c>
      <c r="C565" s="1" t="s">
        <v>38</v>
      </c>
      <c r="D565">
        <v>0</v>
      </c>
    </row>
    <row r="566" spans="1:4" x14ac:dyDescent="0.3">
      <c r="A566" s="1" t="s">
        <v>24</v>
      </c>
      <c r="B566" s="1" t="s">
        <v>49</v>
      </c>
      <c r="C566" s="1" t="s">
        <v>39</v>
      </c>
      <c r="D566">
        <v>0</v>
      </c>
    </row>
    <row r="567" spans="1:4" x14ac:dyDescent="0.3">
      <c r="A567" s="1" t="s">
        <v>24</v>
      </c>
      <c r="B567" s="1" t="s">
        <v>49</v>
      </c>
      <c r="C567" s="1" t="s">
        <v>40</v>
      </c>
      <c r="D567">
        <v>0</v>
      </c>
    </row>
    <row r="568" spans="1:4" x14ac:dyDescent="0.3">
      <c r="A568" s="1" t="s">
        <v>24</v>
      </c>
      <c r="B568" s="1" t="s">
        <v>49</v>
      </c>
      <c r="C568" s="1" t="s">
        <v>41</v>
      </c>
      <c r="D568">
        <v>0</v>
      </c>
    </row>
    <row r="569" spans="1:4" x14ac:dyDescent="0.3">
      <c r="A569" s="1" t="s">
        <v>24</v>
      </c>
      <c r="B569" s="1" t="s">
        <v>49</v>
      </c>
      <c r="C569" s="1" t="s">
        <v>42</v>
      </c>
      <c r="D569">
        <v>0</v>
      </c>
    </row>
    <row r="570" spans="1:4" x14ac:dyDescent="0.3">
      <c r="A570" s="1" t="s">
        <v>24</v>
      </c>
      <c r="B570" s="1" t="s">
        <v>49</v>
      </c>
      <c r="C570" s="1" t="s">
        <v>43</v>
      </c>
      <c r="D570">
        <v>0</v>
      </c>
    </row>
    <row r="571" spans="1:4" x14ac:dyDescent="0.3">
      <c r="A571" s="1" t="s">
        <v>24</v>
      </c>
      <c r="B571" s="1" t="s">
        <v>49</v>
      </c>
      <c r="C571" s="1" t="s">
        <v>44</v>
      </c>
      <c r="D571">
        <v>0</v>
      </c>
    </row>
    <row r="572" spans="1:4" x14ac:dyDescent="0.3">
      <c r="A572" s="1" t="s">
        <v>24</v>
      </c>
      <c r="B572" s="1" t="s">
        <v>49</v>
      </c>
      <c r="C572" s="1" t="s">
        <v>45</v>
      </c>
      <c r="D572">
        <v>0</v>
      </c>
    </row>
    <row r="573" spans="1:4" x14ac:dyDescent="0.3">
      <c r="A573" s="1" t="s">
        <v>24</v>
      </c>
      <c r="B573" s="1" t="s">
        <v>49</v>
      </c>
      <c r="C573" s="1" t="s">
        <v>46</v>
      </c>
      <c r="D573">
        <v>0</v>
      </c>
    </row>
    <row r="574" spans="1:4" x14ac:dyDescent="0.3">
      <c r="A574" s="1" t="s">
        <v>25</v>
      </c>
      <c r="B574" s="1" t="s">
        <v>49</v>
      </c>
      <c r="C574" s="1" t="s">
        <v>36</v>
      </c>
      <c r="D574">
        <v>0.15</v>
      </c>
    </row>
    <row r="575" spans="1:4" x14ac:dyDescent="0.3">
      <c r="A575" s="1" t="s">
        <v>25</v>
      </c>
      <c r="B575" s="1" t="s">
        <v>49</v>
      </c>
      <c r="C575" s="1" t="s">
        <v>37</v>
      </c>
      <c r="D575">
        <v>0.15</v>
      </c>
    </row>
    <row r="576" spans="1:4" x14ac:dyDescent="0.3">
      <c r="A576" s="1" t="s">
        <v>25</v>
      </c>
      <c r="B576" s="1" t="s">
        <v>49</v>
      </c>
      <c r="C576" s="1" t="s">
        <v>38</v>
      </c>
      <c r="D576">
        <v>0.15</v>
      </c>
    </row>
    <row r="577" spans="1:4" x14ac:dyDescent="0.3">
      <c r="A577" s="1" t="s">
        <v>25</v>
      </c>
      <c r="B577" s="1" t="s">
        <v>49</v>
      </c>
      <c r="C577" s="1" t="s">
        <v>39</v>
      </c>
      <c r="D577">
        <v>0.15</v>
      </c>
    </row>
    <row r="578" spans="1:4" x14ac:dyDescent="0.3">
      <c r="A578" s="1" t="s">
        <v>25</v>
      </c>
      <c r="B578" s="1" t="s">
        <v>49</v>
      </c>
      <c r="C578" s="1" t="s">
        <v>40</v>
      </c>
      <c r="D578">
        <v>0.14000000000000001</v>
      </c>
    </row>
    <row r="579" spans="1:4" x14ac:dyDescent="0.3">
      <c r="A579" s="1" t="s">
        <v>25</v>
      </c>
      <c r="B579" s="1" t="s">
        <v>49</v>
      </c>
      <c r="C579" s="1" t="s">
        <v>41</v>
      </c>
      <c r="D579">
        <v>0.14000000000000001</v>
      </c>
    </row>
    <row r="580" spans="1:4" x14ac:dyDescent="0.3">
      <c r="A580" s="1" t="s">
        <v>25</v>
      </c>
      <c r="B580" s="1" t="s">
        <v>49</v>
      </c>
      <c r="C580" s="1" t="s">
        <v>42</v>
      </c>
      <c r="D580">
        <v>0.13</v>
      </c>
    </row>
    <row r="581" spans="1:4" x14ac:dyDescent="0.3">
      <c r="A581" s="1" t="s">
        <v>25</v>
      </c>
      <c r="B581" s="1" t="s">
        <v>49</v>
      </c>
      <c r="C581" s="1" t="s">
        <v>43</v>
      </c>
      <c r="D581">
        <v>0.12</v>
      </c>
    </row>
    <row r="582" spans="1:4" x14ac:dyDescent="0.3">
      <c r="A582" s="1" t="s">
        <v>25</v>
      </c>
      <c r="B582" s="1" t="s">
        <v>49</v>
      </c>
      <c r="C582" s="1" t="s">
        <v>44</v>
      </c>
      <c r="D582">
        <v>0.11</v>
      </c>
    </row>
    <row r="583" spans="1:4" x14ac:dyDescent="0.3">
      <c r="A583" s="1" t="s">
        <v>25</v>
      </c>
      <c r="B583" s="1" t="s">
        <v>49</v>
      </c>
      <c r="C583" s="1" t="s">
        <v>45</v>
      </c>
      <c r="D583">
        <v>0.11</v>
      </c>
    </row>
    <row r="584" spans="1:4" x14ac:dyDescent="0.3">
      <c r="A584" s="1" t="s">
        <v>25</v>
      </c>
      <c r="B584" s="1" t="s">
        <v>49</v>
      </c>
      <c r="C584" s="1" t="s">
        <v>46</v>
      </c>
      <c r="D584">
        <v>0.11</v>
      </c>
    </row>
    <row r="585" spans="1:4" x14ac:dyDescent="0.3">
      <c r="A585" s="1" t="s">
        <v>26</v>
      </c>
      <c r="B585" s="1" t="s">
        <v>49</v>
      </c>
      <c r="C585" s="1" t="s">
        <v>36</v>
      </c>
      <c r="D585">
        <v>0</v>
      </c>
    </row>
    <row r="586" spans="1:4" x14ac:dyDescent="0.3">
      <c r="A586" s="1" t="s">
        <v>26</v>
      </c>
      <c r="B586" s="1" t="s">
        <v>49</v>
      </c>
      <c r="C586" s="1" t="s">
        <v>37</v>
      </c>
      <c r="D586">
        <v>0</v>
      </c>
    </row>
    <row r="587" spans="1:4" x14ac:dyDescent="0.3">
      <c r="A587" s="1" t="s">
        <v>26</v>
      </c>
      <c r="B587" s="1" t="s">
        <v>49</v>
      </c>
      <c r="C587" s="1" t="s">
        <v>38</v>
      </c>
      <c r="D587">
        <v>0</v>
      </c>
    </row>
    <row r="588" spans="1:4" x14ac:dyDescent="0.3">
      <c r="A588" s="1" t="s">
        <v>26</v>
      </c>
      <c r="B588" s="1" t="s">
        <v>49</v>
      </c>
      <c r="C588" s="1" t="s">
        <v>39</v>
      </c>
      <c r="D588">
        <v>0</v>
      </c>
    </row>
    <row r="589" spans="1:4" x14ac:dyDescent="0.3">
      <c r="A589" s="1" t="s">
        <v>26</v>
      </c>
      <c r="B589" s="1" t="s">
        <v>49</v>
      </c>
      <c r="C589" s="1" t="s">
        <v>40</v>
      </c>
      <c r="D589">
        <v>0</v>
      </c>
    </row>
    <row r="590" spans="1:4" x14ac:dyDescent="0.3">
      <c r="A590" s="1" t="s">
        <v>26</v>
      </c>
      <c r="B590" s="1" t="s">
        <v>49</v>
      </c>
      <c r="C590" s="1" t="s">
        <v>41</v>
      </c>
      <c r="D590">
        <v>0</v>
      </c>
    </row>
    <row r="591" spans="1:4" x14ac:dyDescent="0.3">
      <c r="A591" s="1" t="s">
        <v>26</v>
      </c>
      <c r="B591" s="1" t="s">
        <v>49</v>
      </c>
      <c r="C591" s="1" t="s">
        <v>42</v>
      </c>
      <c r="D591">
        <v>0</v>
      </c>
    </row>
    <row r="592" spans="1:4" x14ac:dyDescent="0.3">
      <c r="A592" s="1" t="s">
        <v>26</v>
      </c>
      <c r="B592" s="1" t="s">
        <v>49</v>
      </c>
      <c r="C592" s="1" t="s">
        <v>43</v>
      </c>
      <c r="D592">
        <v>0</v>
      </c>
    </row>
    <row r="593" spans="1:4" x14ac:dyDescent="0.3">
      <c r="A593" s="1" t="s">
        <v>26</v>
      </c>
      <c r="B593" s="1" t="s">
        <v>49</v>
      </c>
      <c r="C593" s="1" t="s">
        <v>44</v>
      </c>
      <c r="D593">
        <v>0</v>
      </c>
    </row>
    <row r="594" spans="1:4" x14ac:dyDescent="0.3">
      <c r="A594" s="1" t="s">
        <v>26</v>
      </c>
      <c r="B594" s="1" t="s">
        <v>49</v>
      </c>
      <c r="C594" s="1" t="s">
        <v>45</v>
      </c>
      <c r="D594">
        <v>0</v>
      </c>
    </row>
    <row r="595" spans="1:4" x14ac:dyDescent="0.3">
      <c r="A595" s="1" t="s">
        <v>26</v>
      </c>
      <c r="B595" s="1" t="s">
        <v>49</v>
      </c>
      <c r="C595" s="1" t="s">
        <v>46</v>
      </c>
      <c r="D595">
        <v>0</v>
      </c>
    </row>
    <row r="596" spans="1:4" x14ac:dyDescent="0.3">
      <c r="A596" s="1" t="s">
        <v>27</v>
      </c>
      <c r="B596" s="1" t="s">
        <v>49</v>
      </c>
      <c r="C596" s="1" t="s">
        <v>36</v>
      </c>
      <c r="D596">
        <v>0</v>
      </c>
    </row>
    <row r="597" spans="1:4" x14ac:dyDescent="0.3">
      <c r="A597" s="1" t="s">
        <v>27</v>
      </c>
      <c r="B597" s="1" t="s">
        <v>49</v>
      </c>
      <c r="C597" s="1" t="s">
        <v>37</v>
      </c>
      <c r="D597">
        <v>0</v>
      </c>
    </row>
    <row r="598" spans="1:4" x14ac:dyDescent="0.3">
      <c r="A598" s="1" t="s">
        <v>27</v>
      </c>
      <c r="B598" s="1" t="s">
        <v>49</v>
      </c>
      <c r="C598" s="1" t="s">
        <v>38</v>
      </c>
      <c r="D598">
        <v>0</v>
      </c>
    </row>
    <row r="599" spans="1:4" x14ac:dyDescent="0.3">
      <c r="A599" s="1" t="s">
        <v>27</v>
      </c>
      <c r="B599" s="1" t="s">
        <v>49</v>
      </c>
      <c r="C599" s="1" t="s">
        <v>39</v>
      </c>
      <c r="D599">
        <v>0</v>
      </c>
    </row>
    <row r="600" spans="1:4" x14ac:dyDescent="0.3">
      <c r="A600" s="1" t="s">
        <v>27</v>
      </c>
      <c r="B600" s="1" t="s">
        <v>49</v>
      </c>
      <c r="C600" s="1" t="s">
        <v>40</v>
      </c>
      <c r="D600">
        <v>0</v>
      </c>
    </row>
    <row r="601" spans="1:4" x14ac:dyDescent="0.3">
      <c r="A601" s="1" t="s">
        <v>27</v>
      </c>
      <c r="B601" s="1" t="s">
        <v>49</v>
      </c>
      <c r="C601" s="1" t="s">
        <v>41</v>
      </c>
      <c r="D601">
        <v>0</v>
      </c>
    </row>
    <row r="602" spans="1:4" x14ac:dyDescent="0.3">
      <c r="A602" s="1" t="s">
        <v>27</v>
      </c>
      <c r="B602" s="1" t="s">
        <v>49</v>
      </c>
      <c r="C602" s="1" t="s">
        <v>42</v>
      </c>
      <c r="D602">
        <v>0</v>
      </c>
    </row>
    <row r="603" spans="1:4" x14ac:dyDescent="0.3">
      <c r="A603" s="1" t="s">
        <v>27</v>
      </c>
      <c r="B603" s="1" t="s">
        <v>49</v>
      </c>
      <c r="C603" s="1" t="s">
        <v>43</v>
      </c>
      <c r="D603">
        <v>0</v>
      </c>
    </row>
    <row r="604" spans="1:4" x14ac:dyDescent="0.3">
      <c r="A604" s="1" t="s">
        <v>27</v>
      </c>
      <c r="B604" s="1" t="s">
        <v>49</v>
      </c>
      <c r="C604" s="1" t="s">
        <v>44</v>
      </c>
      <c r="D604">
        <v>0</v>
      </c>
    </row>
    <row r="605" spans="1:4" x14ac:dyDescent="0.3">
      <c r="A605" s="1" t="s">
        <v>27</v>
      </c>
      <c r="B605" s="1" t="s">
        <v>49</v>
      </c>
      <c r="C605" s="1" t="s">
        <v>45</v>
      </c>
      <c r="D605">
        <v>0</v>
      </c>
    </row>
    <row r="606" spans="1:4" x14ac:dyDescent="0.3">
      <c r="A606" s="1" t="s">
        <v>27</v>
      </c>
      <c r="B606" s="1" t="s">
        <v>49</v>
      </c>
      <c r="C606" s="1" t="s">
        <v>46</v>
      </c>
      <c r="D606">
        <v>0</v>
      </c>
    </row>
    <row r="607" spans="1:4" x14ac:dyDescent="0.3">
      <c r="A607" s="1" t="s">
        <v>28</v>
      </c>
      <c r="B607" s="1" t="s">
        <v>49</v>
      </c>
      <c r="C607" s="1" t="s">
        <v>36</v>
      </c>
      <c r="D607">
        <v>0.12</v>
      </c>
    </row>
    <row r="608" spans="1:4" x14ac:dyDescent="0.3">
      <c r="A608" s="1" t="s">
        <v>28</v>
      </c>
      <c r="B608" s="1" t="s">
        <v>49</v>
      </c>
      <c r="C608" s="1" t="s">
        <v>37</v>
      </c>
      <c r="D608">
        <v>0.12</v>
      </c>
    </row>
    <row r="609" spans="1:4" x14ac:dyDescent="0.3">
      <c r="A609" s="1" t="s">
        <v>28</v>
      </c>
      <c r="B609" s="1" t="s">
        <v>49</v>
      </c>
      <c r="C609" s="1" t="s">
        <v>38</v>
      </c>
      <c r="D609">
        <v>0.12</v>
      </c>
    </row>
    <row r="610" spans="1:4" x14ac:dyDescent="0.3">
      <c r="A610" s="1" t="s">
        <v>28</v>
      </c>
      <c r="B610" s="1" t="s">
        <v>49</v>
      </c>
      <c r="C610" s="1" t="s">
        <v>39</v>
      </c>
      <c r="D610">
        <v>0.12</v>
      </c>
    </row>
    <row r="611" spans="1:4" x14ac:dyDescent="0.3">
      <c r="A611" s="1" t="s">
        <v>28</v>
      </c>
      <c r="B611" s="1" t="s">
        <v>49</v>
      </c>
      <c r="C611" s="1" t="s">
        <v>40</v>
      </c>
      <c r="D611">
        <v>0.11</v>
      </c>
    </row>
    <row r="612" spans="1:4" x14ac:dyDescent="0.3">
      <c r="A612" s="1" t="s">
        <v>28</v>
      </c>
      <c r="B612" s="1" t="s">
        <v>49</v>
      </c>
      <c r="C612" s="1" t="s">
        <v>41</v>
      </c>
      <c r="D612">
        <v>0.11</v>
      </c>
    </row>
    <row r="613" spans="1:4" x14ac:dyDescent="0.3">
      <c r="A613" s="1" t="s">
        <v>28</v>
      </c>
      <c r="B613" s="1" t="s">
        <v>49</v>
      </c>
      <c r="C613" s="1" t="s">
        <v>42</v>
      </c>
      <c r="D613">
        <v>0.1</v>
      </c>
    </row>
    <row r="614" spans="1:4" x14ac:dyDescent="0.3">
      <c r="A614" s="1" t="s">
        <v>28</v>
      </c>
      <c r="B614" s="1" t="s">
        <v>49</v>
      </c>
      <c r="C614" s="1" t="s">
        <v>43</v>
      </c>
      <c r="D614">
        <v>0.1</v>
      </c>
    </row>
    <row r="615" spans="1:4" x14ac:dyDescent="0.3">
      <c r="A615" s="1" t="s">
        <v>28</v>
      </c>
      <c r="B615" s="1" t="s">
        <v>49</v>
      </c>
      <c r="C615" s="1" t="s">
        <v>44</v>
      </c>
      <c r="D615">
        <v>0.09</v>
      </c>
    </row>
    <row r="616" spans="1:4" x14ac:dyDescent="0.3">
      <c r="A616" s="1" t="s">
        <v>28</v>
      </c>
      <c r="B616" s="1" t="s">
        <v>49</v>
      </c>
      <c r="C616" s="1" t="s">
        <v>45</v>
      </c>
      <c r="D616">
        <v>0.09</v>
      </c>
    </row>
    <row r="617" spans="1:4" x14ac:dyDescent="0.3">
      <c r="A617" s="1" t="s">
        <v>28</v>
      </c>
      <c r="B617" s="1" t="s">
        <v>49</v>
      </c>
      <c r="C617" s="1" t="s">
        <v>46</v>
      </c>
      <c r="D617">
        <v>0.09</v>
      </c>
    </row>
    <row r="618" spans="1:4" x14ac:dyDescent="0.3">
      <c r="A618" s="1" t="s">
        <v>29</v>
      </c>
      <c r="B618" s="1" t="s">
        <v>49</v>
      </c>
      <c r="C618" s="1" t="s">
        <v>36</v>
      </c>
      <c r="D618">
        <v>0.19</v>
      </c>
    </row>
    <row r="619" spans="1:4" x14ac:dyDescent="0.3">
      <c r="A619" s="1" t="s">
        <v>29</v>
      </c>
      <c r="B619" s="1" t="s">
        <v>49</v>
      </c>
      <c r="C619" s="1" t="s">
        <v>37</v>
      </c>
      <c r="D619">
        <v>0.19</v>
      </c>
    </row>
    <row r="620" spans="1:4" x14ac:dyDescent="0.3">
      <c r="A620" s="1" t="s">
        <v>29</v>
      </c>
      <c r="B620" s="1" t="s">
        <v>49</v>
      </c>
      <c r="C620" s="1" t="s">
        <v>38</v>
      </c>
      <c r="D620">
        <v>0.19</v>
      </c>
    </row>
    <row r="621" spans="1:4" x14ac:dyDescent="0.3">
      <c r="A621" s="1" t="s">
        <v>29</v>
      </c>
      <c r="B621" s="1" t="s">
        <v>49</v>
      </c>
      <c r="C621" s="1" t="s">
        <v>39</v>
      </c>
      <c r="D621">
        <v>0.19</v>
      </c>
    </row>
    <row r="622" spans="1:4" x14ac:dyDescent="0.3">
      <c r="A622" s="1" t="s">
        <v>29</v>
      </c>
      <c r="B622" s="1" t="s">
        <v>49</v>
      </c>
      <c r="C622" s="1" t="s">
        <v>40</v>
      </c>
      <c r="D622">
        <v>0.18</v>
      </c>
    </row>
    <row r="623" spans="1:4" x14ac:dyDescent="0.3">
      <c r="A623" s="1" t="s">
        <v>29</v>
      </c>
      <c r="B623" s="1" t="s">
        <v>49</v>
      </c>
      <c r="C623" s="1" t="s">
        <v>41</v>
      </c>
      <c r="D623">
        <v>0.17</v>
      </c>
    </row>
    <row r="624" spans="1:4" x14ac:dyDescent="0.3">
      <c r="A624" s="1" t="s">
        <v>29</v>
      </c>
      <c r="B624" s="1" t="s">
        <v>49</v>
      </c>
      <c r="C624" s="1" t="s">
        <v>42</v>
      </c>
      <c r="D624">
        <v>0.16</v>
      </c>
    </row>
    <row r="625" spans="1:4" x14ac:dyDescent="0.3">
      <c r="A625" s="1" t="s">
        <v>29</v>
      </c>
      <c r="B625" s="1" t="s">
        <v>49</v>
      </c>
      <c r="C625" s="1" t="s">
        <v>43</v>
      </c>
      <c r="D625">
        <v>0.15</v>
      </c>
    </row>
    <row r="626" spans="1:4" x14ac:dyDescent="0.3">
      <c r="A626" s="1" t="s">
        <v>29</v>
      </c>
      <c r="B626" s="1" t="s">
        <v>49</v>
      </c>
      <c r="C626" s="1" t="s">
        <v>44</v>
      </c>
      <c r="D626">
        <v>0.14000000000000001</v>
      </c>
    </row>
    <row r="627" spans="1:4" x14ac:dyDescent="0.3">
      <c r="A627" s="1" t="s">
        <v>29</v>
      </c>
      <c r="B627" s="1" t="s">
        <v>49</v>
      </c>
      <c r="C627" s="1" t="s">
        <v>45</v>
      </c>
      <c r="D627">
        <v>0.14000000000000001</v>
      </c>
    </row>
    <row r="628" spans="1:4" x14ac:dyDescent="0.3">
      <c r="A628" s="1" t="s">
        <v>29</v>
      </c>
      <c r="B628" s="1" t="s">
        <v>49</v>
      </c>
      <c r="C628" s="1" t="s">
        <v>46</v>
      </c>
      <c r="D628">
        <v>0.14000000000000001</v>
      </c>
    </row>
    <row r="629" spans="1:4" x14ac:dyDescent="0.3">
      <c r="A629" s="1" t="s">
        <v>30</v>
      </c>
      <c r="B629" s="1" t="s">
        <v>49</v>
      </c>
      <c r="C629" s="1" t="s">
        <v>36</v>
      </c>
      <c r="D629">
        <v>0.39</v>
      </c>
    </row>
    <row r="630" spans="1:4" x14ac:dyDescent="0.3">
      <c r="A630" s="1" t="s">
        <v>30</v>
      </c>
      <c r="B630" s="1" t="s">
        <v>49</v>
      </c>
      <c r="C630" s="1" t="s">
        <v>37</v>
      </c>
      <c r="D630">
        <v>0.39</v>
      </c>
    </row>
    <row r="631" spans="1:4" x14ac:dyDescent="0.3">
      <c r="A631" s="1" t="s">
        <v>30</v>
      </c>
      <c r="B631" s="1" t="s">
        <v>49</v>
      </c>
      <c r="C631" s="1" t="s">
        <v>38</v>
      </c>
      <c r="D631">
        <v>0.39</v>
      </c>
    </row>
    <row r="632" spans="1:4" x14ac:dyDescent="0.3">
      <c r="A632" s="1" t="s">
        <v>30</v>
      </c>
      <c r="B632" s="1" t="s">
        <v>49</v>
      </c>
      <c r="C632" s="1" t="s">
        <v>39</v>
      </c>
      <c r="D632">
        <v>0.39</v>
      </c>
    </row>
    <row r="633" spans="1:4" x14ac:dyDescent="0.3">
      <c r="A633" s="1" t="s">
        <v>30</v>
      </c>
      <c r="B633" s="1" t="s">
        <v>49</v>
      </c>
      <c r="C633" s="1" t="s">
        <v>40</v>
      </c>
      <c r="D633">
        <v>0.37</v>
      </c>
    </row>
    <row r="634" spans="1:4" x14ac:dyDescent="0.3">
      <c r="A634" s="1" t="s">
        <v>30</v>
      </c>
      <c r="B634" s="1" t="s">
        <v>49</v>
      </c>
      <c r="C634" s="1" t="s">
        <v>41</v>
      </c>
      <c r="D634">
        <v>0.35</v>
      </c>
    </row>
    <row r="635" spans="1:4" x14ac:dyDescent="0.3">
      <c r="A635" s="1" t="s">
        <v>30</v>
      </c>
      <c r="B635" s="1" t="s">
        <v>49</v>
      </c>
      <c r="C635" s="1" t="s">
        <v>42</v>
      </c>
      <c r="D635">
        <v>0.33</v>
      </c>
    </row>
    <row r="636" spans="1:4" x14ac:dyDescent="0.3">
      <c r="A636" s="1" t="s">
        <v>30</v>
      </c>
      <c r="B636" s="1" t="s">
        <v>49</v>
      </c>
      <c r="C636" s="1" t="s">
        <v>43</v>
      </c>
      <c r="D636">
        <v>0.31</v>
      </c>
    </row>
    <row r="637" spans="1:4" x14ac:dyDescent="0.3">
      <c r="A637" s="1" t="s">
        <v>30</v>
      </c>
      <c r="B637" s="1" t="s">
        <v>49</v>
      </c>
      <c r="C637" s="1" t="s">
        <v>44</v>
      </c>
      <c r="D637">
        <v>0.28999999999999998</v>
      </c>
    </row>
    <row r="638" spans="1:4" x14ac:dyDescent="0.3">
      <c r="A638" s="1" t="s">
        <v>30</v>
      </c>
      <c r="B638" s="1" t="s">
        <v>49</v>
      </c>
      <c r="C638" s="1" t="s">
        <v>45</v>
      </c>
      <c r="D638">
        <v>0.28999999999999998</v>
      </c>
    </row>
    <row r="639" spans="1:4" x14ac:dyDescent="0.3">
      <c r="A639" s="1" t="s">
        <v>30</v>
      </c>
      <c r="B639" s="1" t="s">
        <v>49</v>
      </c>
      <c r="C639" s="1" t="s">
        <v>46</v>
      </c>
      <c r="D639">
        <v>0.28999999999999998</v>
      </c>
    </row>
    <row r="640" spans="1:4" x14ac:dyDescent="0.3">
      <c r="A640" s="1" t="s">
        <v>31</v>
      </c>
      <c r="B640" s="1" t="s">
        <v>49</v>
      </c>
      <c r="C640" s="1" t="s">
        <v>36</v>
      </c>
      <c r="D640">
        <v>0</v>
      </c>
    </row>
    <row r="641" spans="1:4" x14ac:dyDescent="0.3">
      <c r="A641" s="1" t="s">
        <v>31</v>
      </c>
      <c r="B641" s="1" t="s">
        <v>49</v>
      </c>
      <c r="C641" s="1" t="s">
        <v>37</v>
      </c>
      <c r="D641">
        <v>0</v>
      </c>
    </row>
    <row r="642" spans="1:4" x14ac:dyDescent="0.3">
      <c r="A642" s="1" t="s">
        <v>31</v>
      </c>
      <c r="B642" s="1" t="s">
        <v>49</v>
      </c>
      <c r="C642" s="1" t="s">
        <v>38</v>
      </c>
      <c r="D642">
        <v>0</v>
      </c>
    </row>
    <row r="643" spans="1:4" x14ac:dyDescent="0.3">
      <c r="A643" s="1" t="s">
        <v>31</v>
      </c>
      <c r="B643" s="1" t="s">
        <v>49</v>
      </c>
      <c r="C643" s="1" t="s">
        <v>39</v>
      </c>
      <c r="D643">
        <v>0</v>
      </c>
    </row>
    <row r="644" spans="1:4" x14ac:dyDescent="0.3">
      <c r="A644" s="1" t="s">
        <v>31</v>
      </c>
      <c r="B644" s="1" t="s">
        <v>49</v>
      </c>
      <c r="C644" s="1" t="s">
        <v>40</v>
      </c>
      <c r="D644">
        <v>0</v>
      </c>
    </row>
    <row r="645" spans="1:4" x14ac:dyDescent="0.3">
      <c r="A645" s="1" t="s">
        <v>31</v>
      </c>
      <c r="B645" s="1" t="s">
        <v>49</v>
      </c>
      <c r="C645" s="1" t="s">
        <v>41</v>
      </c>
      <c r="D645">
        <v>0</v>
      </c>
    </row>
    <row r="646" spans="1:4" x14ac:dyDescent="0.3">
      <c r="A646" s="1" t="s">
        <v>31</v>
      </c>
      <c r="B646" s="1" t="s">
        <v>49</v>
      </c>
      <c r="C646" s="1" t="s">
        <v>42</v>
      </c>
      <c r="D646">
        <v>0</v>
      </c>
    </row>
    <row r="647" spans="1:4" x14ac:dyDescent="0.3">
      <c r="A647" s="1" t="s">
        <v>31</v>
      </c>
      <c r="B647" s="1" t="s">
        <v>49</v>
      </c>
      <c r="C647" s="1" t="s">
        <v>43</v>
      </c>
      <c r="D647">
        <v>0</v>
      </c>
    </row>
    <row r="648" spans="1:4" x14ac:dyDescent="0.3">
      <c r="A648" s="1" t="s">
        <v>31</v>
      </c>
      <c r="B648" s="1" t="s">
        <v>49</v>
      </c>
      <c r="C648" s="1" t="s">
        <v>44</v>
      </c>
      <c r="D648">
        <v>0</v>
      </c>
    </row>
    <row r="649" spans="1:4" x14ac:dyDescent="0.3">
      <c r="A649" s="1" t="s">
        <v>31</v>
      </c>
      <c r="B649" s="1" t="s">
        <v>49</v>
      </c>
      <c r="C649" s="1" t="s">
        <v>45</v>
      </c>
      <c r="D649">
        <v>0</v>
      </c>
    </row>
    <row r="650" spans="1:4" x14ac:dyDescent="0.3">
      <c r="A650" s="1" t="s">
        <v>31</v>
      </c>
      <c r="B650" s="1" t="s">
        <v>49</v>
      </c>
      <c r="C650" s="1" t="s">
        <v>46</v>
      </c>
      <c r="D650">
        <v>0</v>
      </c>
    </row>
    <row r="651" spans="1:4" x14ac:dyDescent="0.3">
      <c r="A651" s="1" t="s">
        <v>32</v>
      </c>
      <c r="B651" s="1" t="s">
        <v>49</v>
      </c>
      <c r="C651" s="1" t="s">
        <v>36</v>
      </c>
      <c r="D651">
        <v>0</v>
      </c>
    </row>
    <row r="652" spans="1:4" x14ac:dyDescent="0.3">
      <c r="A652" s="1" t="s">
        <v>32</v>
      </c>
      <c r="B652" s="1" t="s">
        <v>49</v>
      </c>
      <c r="C652" s="1" t="s">
        <v>37</v>
      </c>
      <c r="D652">
        <v>0</v>
      </c>
    </row>
    <row r="653" spans="1:4" x14ac:dyDescent="0.3">
      <c r="A653" s="1" t="s">
        <v>32</v>
      </c>
      <c r="B653" s="1" t="s">
        <v>49</v>
      </c>
      <c r="C653" s="1" t="s">
        <v>38</v>
      </c>
      <c r="D653">
        <v>0</v>
      </c>
    </row>
    <row r="654" spans="1:4" x14ac:dyDescent="0.3">
      <c r="A654" s="1" t="s">
        <v>32</v>
      </c>
      <c r="B654" s="1" t="s">
        <v>49</v>
      </c>
      <c r="C654" s="1" t="s">
        <v>39</v>
      </c>
      <c r="D654">
        <v>0</v>
      </c>
    </row>
    <row r="655" spans="1:4" x14ac:dyDescent="0.3">
      <c r="A655" s="1" t="s">
        <v>32</v>
      </c>
      <c r="B655" s="1" t="s">
        <v>49</v>
      </c>
      <c r="C655" s="1" t="s">
        <v>40</v>
      </c>
      <c r="D655">
        <v>0</v>
      </c>
    </row>
    <row r="656" spans="1:4" x14ac:dyDescent="0.3">
      <c r="A656" s="1" t="s">
        <v>32</v>
      </c>
      <c r="B656" s="1" t="s">
        <v>49</v>
      </c>
      <c r="C656" s="1" t="s">
        <v>41</v>
      </c>
      <c r="D656">
        <v>0</v>
      </c>
    </row>
    <row r="657" spans="1:4" x14ac:dyDescent="0.3">
      <c r="A657" s="1" t="s">
        <v>32</v>
      </c>
      <c r="B657" s="1" t="s">
        <v>49</v>
      </c>
      <c r="C657" s="1" t="s">
        <v>42</v>
      </c>
      <c r="D657">
        <v>0</v>
      </c>
    </row>
    <row r="658" spans="1:4" x14ac:dyDescent="0.3">
      <c r="A658" s="1" t="s">
        <v>32</v>
      </c>
      <c r="B658" s="1" t="s">
        <v>49</v>
      </c>
      <c r="C658" s="1" t="s">
        <v>43</v>
      </c>
      <c r="D658">
        <v>0</v>
      </c>
    </row>
    <row r="659" spans="1:4" x14ac:dyDescent="0.3">
      <c r="A659" s="1" t="s">
        <v>32</v>
      </c>
      <c r="B659" s="1" t="s">
        <v>49</v>
      </c>
      <c r="C659" s="1" t="s">
        <v>44</v>
      </c>
      <c r="D659">
        <v>0</v>
      </c>
    </row>
    <row r="660" spans="1:4" x14ac:dyDescent="0.3">
      <c r="A660" s="1" t="s">
        <v>32</v>
      </c>
      <c r="B660" s="1" t="s">
        <v>49</v>
      </c>
      <c r="C660" s="1" t="s">
        <v>45</v>
      </c>
      <c r="D660">
        <v>0</v>
      </c>
    </row>
    <row r="661" spans="1:4" x14ac:dyDescent="0.3">
      <c r="A661" s="1" t="s">
        <v>32</v>
      </c>
      <c r="B661" s="1" t="s">
        <v>49</v>
      </c>
      <c r="C661" s="1" t="s">
        <v>46</v>
      </c>
      <c r="D66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4673F9-7B74-4147-9AF3-DB84A9D4EE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Moskalenko</dc:creator>
  <cp:lastModifiedBy>Nikita Moskalenko</cp:lastModifiedBy>
  <dcterms:created xsi:type="dcterms:W3CDTF">2025-09-10T14:20:20Z</dcterms:created>
  <dcterms:modified xsi:type="dcterms:W3CDTF">2025-09-11T12:30:54Z</dcterms:modified>
</cp:coreProperties>
</file>